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ytonyuen/Desktop/"/>
    </mc:Choice>
  </mc:AlternateContent>
  <xr:revisionPtr revIDLastSave="0" documentId="13_ncr:1_{6E19837F-DE88-C54D-A77E-BF503D543C7F}" xr6:coauthVersionLast="47" xr6:coauthVersionMax="47" xr10:uidLastSave="{00000000-0000-0000-0000-000000000000}"/>
  <bookViews>
    <workbookView xWindow="0" yWindow="0" windowWidth="28800" windowHeight="18000" xr2:uid="{F0B24962-52AC-4422-97CC-3852AF2024CA}"/>
  </bookViews>
  <sheets>
    <sheet name="Sheet1" sheetId="1" r:id="rId1"/>
    <sheet name="Reactor sheet" sheetId="2" r:id="rId2"/>
    <sheet name="pipeschedule" sheetId="3" r:id="rId3"/>
    <sheet name="Economic Analysis" sheetId="4" r:id="rId4"/>
  </sheets>
  <definedNames>
    <definedName name="solver_adj" localSheetId="0" hidden="1">Sheet1!$J$8,Sheet1!$K$8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Sheet1!$J$8</definedName>
    <definedName name="solver_lhs2" localSheetId="0" hidden="1">Sheet1!$J$8</definedName>
    <definedName name="solver_lhs3" localSheetId="0" hidden="1">Sheet1!$K$8</definedName>
    <definedName name="solver_lhs4" localSheetId="0" hidden="1">Sheet1!$K$8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Sheet1!$J$10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1</definedName>
    <definedName name="solver_rhs2" localSheetId="0" hidden="1">0.001</definedName>
    <definedName name="solver_rhs3" localSheetId="0" hidden="1">0.9</definedName>
    <definedName name="solver_rhs4" localSheetId="0" hidden="1">0.02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3" i="1" l="1"/>
  <c r="BB22" i="1"/>
  <c r="BU27" i="1" l="1"/>
  <c r="AR9" i="2" l="1"/>
  <c r="BU28" i="1"/>
  <c r="BU29" i="1" s="1"/>
  <c r="BB18" i="1"/>
  <c r="U59" i="1"/>
  <c r="F65" i="1"/>
  <c r="D63" i="1"/>
  <c r="C62" i="1"/>
  <c r="C61" i="1"/>
  <c r="Q68" i="1"/>
  <c r="AA68" i="1"/>
  <c r="K68" i="1"/>
  <c r="BW16" i="1"/>
  <c r="BW15" i="1"/>
  <c r="Q65" i="1" l="1"/>
  <c r="AQ7" i="4"/>
  <c r="AO7" i="4" s="1"/>
  <c r="AQ6" i="4"/>
  <c r="AO6" i="4" s="1"/>
  <c r="N73" i="4"/>
  <c r="N72" i="4"/>
  <c r="N71" i="4"/>
  <c r="N69" i="4"/>
  <c r="N66" i="4"/>
  <c r="N68" i="4"/>
  <c r="N67" i="4"/>
  <c r="N65" i="4"/>
  <c r="AH12" i="4"/>
  <c r="AF24" i="4"/>
  <c r="V16" i="4" l="1"/>
  <c r="V15" i="4"/>
  <c r="V7" i="4"/>
  <c r="V6" i="4"/>
  <c r="M35" i="4"/>
  <c r="R35" i="4" s="1"/>
  <c r="M34" i="4"/>
  <c r="O34" i="4" s="1"/>
  <c r="M33" i="4"/>
  <c r="R32" i="4"/>
  <c r="P32" i="4"/>
  <c r="M32" i="4"/>
  <c r="Q32" i="4" s="1"/>
  <c r="T31" i="4"/>
  <c r="S31" i="4"/>
  <c r="P31" i="4"/>
  <c r="O31" i="4"/>
  <c r="M31" i="4"/>
  <c r="R31" i="4" s="1"/>
  <c r="M30" i="4"/>
  <c r="S30" i="4" s="1"/>
  <c r="O29" i="4"/>
  <c r="M29" i="4"/>
  <c r="P29" i="4" s="1"/>
  <c r="M28" i="4"/>
  <c r="T27" i="4"/>
  <c r="S27" i="4"/>
  <c r="Q27" i="4"/>
  <c r="M27" i="4"/>
  <c r="R27" i="4" s="1"/>
  <c r="Q26" i="4"/>
  <c r="M26" i="4"/>
  <c r="O26" i="4" s="1"/>
  <c r="M25" i="4"/>
  <c r="M24" i="4"/>
  <c r="Q24" i="4" s="1"/>
  <c r="S23" i="4"/>
  <c r="R23" i="4"/>
  <c r="Q23" i="4"/>
  <c r="O23" i="4"/>
  <c r="M23" i="4"/>
  <c r="P23" i="4" s="1"/>
  <c r="S22" i="4"/>
  <c r="R22" i="4"/>
  <c r="Q22" i="4"/>
  <c r="O22" i="4"/>
  <c r="M22" i="4"/>
  <c r="P22" i="4" s="1"/>
  <c r="M21" i="4"/>
  <c r="O21" i="4" s="1"/>
  <c r="M20" i="4"/>
  <c r="S20" i="4" s="1"/>
  <c r="M19" i="4"/>
  <c r="R19" i="4" s="1"/>
  <c r="M18" i="4"/>
  <c r="T18" i="4" s="1"/>
  <c r="M17" i="4"/>
  <c r="M16" i="4"/>
  <c r="M15" i="4"/>
  <c r="M14" i="4"/>
  <c r="M13" i="4"/>
  <c r="O13" i="4" s="1"/>
  <c r="AI12" i="4"/>
  <c r="M12" i="4"/>
  <c r="M11" i="4"/>
  <c r="Q11" i="4" s="1"/>
  <c r="AK10" i="4"/>
  <c r="AK11" i="4" s="1"/>
  <c r="AK12" i="4" s="1"/>
  <c r="AK13" i="4" s="1"/>
  <c r="M10" i="4"/>
  <c r="AA9" i="4"/>
  <c r="M9" i="4"/>
  <c r="P9" i="4" s="1"/>
  <c r="S8" i="4"/>
  <c r="M8" i="4"/>
  <c r="P8" i="4" s="1"/>
  <c r="M7" i="4"/>
  <c r="P7" i="4" s="1"/>
  <c r="T6" i="4"/>
  <c r="S6" i="4"/>
  <c r="M6" i="4"/>
  <c r="R6" i="4" s="1"/>
  <c r="T19" i="4" l="1"/>
  <c r="O24" i="4"/>
  <c r="P35" i="4"/>
  <c r="T22" i="4"/>
  <c r="P24" i="4"/>
  <c r="Q29" i="4"/>
  <c r="Q31" i="4"/>
  <c r="S32" i="4"/>
  <c r="Q35" i="4"/>
  <c r="R24" i="4"/>
  <c r="P27" i="4"/>
  <c r="R29" i="4"/>
  <c r="T32" i="4"/>
  <c r="S35" i="4"/>
  <c r="S24" i="4"/>
  <c r="S29" i="4"/>
  <c r="T35" i="4"/>
  <c r="P19" i="4"/>
  <c r="T24" i="4"/>
  <c r="Q8" i="4"/>
  <c r="Q19" i="4"/>
  <c r="T30" i="4"/>
  <c r="P34" i="4"/>
  <c r="R8" i="4"/>
  <c r="S19" i="4"/>
  <c r="O32" i="4"/>
  <c r="Q34" i="4"/>
  <c r="P26" i="4"/>
  <c r="S18" i="4"/>
  <c r="R18" i="4"/>
  <c r="Q18" i="4"/>
  <c r="P18" i="4"/>
  <c r="O18" i="4"/>
  <c r="S11" i="4"/>
  <c r="T11" i="4"/>
  <c r="O11" i="4"/>
  <c r="P11" i="4"/>
  <c r="R11" i="4"/>
  <c r="S9" i="4"/>
  <c r="O9" i="4"/>
  <c r="Q9" i="4"/>
  <c r="R9" i="4"/>
  <c r="O8" i="4"/>
  <c r="S7" i="4"/>
  <c r="O7" i="4"/>
  <c r="Q7" i="4"/>
  <c r="R7" i="4"/>
  <c r="P6" i="4"/>
  <c r="Q6" i="4"/>
  <c r="AK14" i="4"/>
  <c r="T25" i="4"/>
  <c r="S25" i="4"/>
  <c r="R25" i="4"/>
  <c r="Q25" i="4"/>
  <c r="O25" i="4"/>
  <c r="P25" i="4"/>
  <c r="T20" i="4"/>
  <c r="R20" i="4"/>
  <c r="Q20" i="4"/>
  <c r="O20" i="4"/>
  <c r="P20" i="4"/>
  <c r="AP10" i="4"/>
  <c r="S13" i="4"/>
  <c r="P13" i="4"/>
  <c r="R13" i="4"/>
  <c r="Q13" i="4"/>
  <c r="T33" i="4"/>
  <c r="S33" i="4"/>
  <c r="R33" i="4"/>
  <c r="Q33" i="4"/>
  <c r="O33" i="4"/>
  <c r="P33" i="4"/>
  <c r="AI13" i="4"/>
  <c r="AI23" i="4"/>
  <c r="AI15" i="4"/>
  <c r="S12" i="4"/>
  <c r="Q12" i="4"/>
  <c r="P12" i="4"/>
  <c r="O12" i="4"/>
  <c r="T13" i="4"/>
  <c r="S21" i="4"/>
  <c r="R21" i="4"/>
  <c r="P21" i="4"/>
  <c r="Q21" i="4"/>
  <c r="R12" i="4"/>
  <c r="T28" i="4"/>
  <c r="S28" i="4"/>
  <c r="R28" i="4"/>
  <c r="P28" i="4"/>
  <c r="Q28" i="4"/>
  <c r="T12" i="4"/>
  <c r="T21" i="4"/>
  <c r="O28" i="4"/>
  <c r="T7" i="4"/>
  <c r="T8" i="4"/>
  <c r="T9" i="4"/>
  <c r="T23" i="4"/>
  <c r="S26" i="4"/>
  <c r="T29" i="4"/>
  <c r="O30" i="4"/>
  <c r="S34" i="4"/>
  <c r="R26" i="4"/>
  <c r="R34" i="4"/>
  <c r="O6" i="4"/>
  <c r="O19" i="4"/>
  <c r="T26" i="4"/>
  <c r="O27" i="4"/>
  <c r="P30" i="4"/>
  <c r="T34" i="4"/>
  <c r="O35" i="4"/>
  <c r="Q30" i="4"/>
  <c r="R30" i="4"/>
  <c r="X9" i="4" l="1"/>
  <c r="AN12" i="4"/>
  <c r="AN13" i="4"/>
  <c r="AN14" i="4"/>
  <c r="AN11" i="4"/>
  <c r="AK15" i="4"/>
  <c r="AK16" i="4" l="1"/>
  <c r="AN15" i="4"/>
  <c r="AK17" i="4" l="1"/>
  <c r="AN16" i="4"/>
  <c r="AK18" i="4" l="1"/>
  <c r="AN17" i="4"/>
  <c r="AK19" i="4" l="1"/>
  <c r="AN18" i="4"/>
  <c r="AK20" i="4" l="1"/>
  <c r="AN19" i="4"/>
  <c r="AK21" i="4" l="1"/>
  <c r="AN20" i="4"/>
  <c r="AK22" i="4" l="1"/>
  <c r="AN21" i="4"/>
  <c r="AK23" i="4" l="1"/>
  <c r="AN22" i="4"/>
  <c r="AK24" i="4" l="1"/>
  <c r="AN23" i="4"/>
  <c r="AK25" i="4" l="1"/>
  <c r="AN24" i="4"/>
  <c r="AK26" i="4" l="1"/>
  <c r="AN25" i="4"/>
  <c r="AK27" i="4" l="1"/>
  <c r="AN26" i="4"/>
  <c r="AK28" i="4" l="1"/>
  <c r="AN27" i="4"/>
  <c r="AK29" i="4" l="1"/>
  <c r="AN28" i="4"/>
  <c r="AK30" i="4" l="1"/>
  <c r="AN29" i="4"/>
  <c r="AK31" i="4" l="1"/>
  <c r="AN30" i="4"/>
  <c r="AK32" i="4" l="1"/>
  <c r="AN31" i="4"/>
  <c r="AK33" i="4" l="1"/>
  <c r="AN32" i="4"/>
  <c r="AK34" i="4" l="1"/>
  <c r="AN33" i="4"/>
  <c r="AK35" i="4" l="1"/>
  <c r="AN34" i="4"/>
  <c r="AK36" i="4" l="1"/>
  <c r="AN35" i="4"/>
  <c r="AK37" i="4" l="1"/>
  <c r="AN36" i="4"/>
  <c r="AK38" i="4" l="1"/>
  <c r="AN37" i="4"/>
  <c r="AK39" i="4" l="1"/>
  <c r="AN38" i="4"/>
  <c r="AK40" i="4" l="1"/>
  <c r="AN39" i="4"/>
  <c r="AK41" i="4" l="1"/>
  <c r="AN40" i="4"/>
  <c r="AK42" i="4" l="1"/>
  <c r="AN41" i="4"/>
  <c r="AK43" i="4" l="1"/>
  <c r="AN42" i="4"/>
  <c r="AK44" i="4" l="1"/>
  <c r="AN43" i="4"/>
  <c r="AK45" i="4" l="1"/>
  <c r="AN44" i="4"/>
  <c r="AK46" i="4" l="1"/>
  <c r="AN45" i="4"/>
  <c r="AK47" i="4" l="1"/>
  <c r="AN46" i="4"/>
  <c r="AK48" i="4" l="1"/>
  <c r="AN47" i="4"/>
  <c r="AK49" i="4" l="1"/>
  <c r="AN48" i="4"/>
  <c r="AK50" i="4" l="1"/>
  <c r="AN49" i="4"/>
  <c r="AK51" i="4" l="1"/>
  <c r="AN50" i="4"/>
  <c r="AN51" i="4" l="1"/>
  <c r="BV23" i="1" l="1"/>
  <c r="BV18" i="1"/>
  <c r="BU23" i="1"/>
  <c r="BH26" i="1"/>
  <c r="BH22" i="1"/>
  <c r="BH23" i="1"/>
  <c r="BG17" i="1"/>
  <c r="BG21" i="1"/>
  <c r="BF17" i="1"/>
  <c r="BF21" i="1"/>
  <c r="I75" i="1"/>
  <c r="I82" i="1" s="1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V34" i="1"/>
  <c r="V35" i="1"/>
  <c r="V36" i="1"/>
  <c r="V37" i="1"/>
  <c r="V38" i="1"/>
  <c r="V39" i="1"/>
  <c r="V40" i="1"/>
  <c r="V42" i="1"/>
  <c r="V43" i="1"/>
  <c r="V44" i="1"/>
  <c r="V45" i="1"/>
  <c r="V46" i="1"/>
  <c r="V47" i="1"/>
  <c r="V59" i="1"/>
  <c r="V75" i="1"/>
  <c r="V82" i="1" s="1"/>
  <c r="V27" i="1"/>
  <c r="V29" i="1"/>
  <c r="V31" i="1"/>
  <c r="V26" i="1"/>
  <c r="V24" i="1"/>
  <c r="V19" i="1"/>
  <c r="V20" i="1"/>
  <c r="V21" i="1"/>
  <c r="V22" i="1"/>
  <c r="V23" i="1"/>
  <c r="V18" i="1"/>
  <c r="N75" i="1"/>
  <c r="N82" i="1" s="1"/>
  <c r="K75" i="1"/>
  <c r="K82" i="1" s="1"/>
  <c r="C15" i="2"/>
  <c r="G8" i="2"/>
  <c r="Q16" i="1" s="1"/>
  <c r="F8" i="2"/>
  <c r="BU15" i="1" s="1"/>
  <c r="BP20" i="1"/>
  <c r="BP19" i="1"/>
  <c r="BP16" i="1"/>
  <c r="BH17" i="1"/>
  <c r="BH21" i="1"/>
  <c r="BH20" i="1"/>
  <c r="BL30" i="1"/>
  <c r="BL21" i="1"/>
  <c r="BI16" i="1" s="1"/>
  <c r="BI26" i="1" s="1"/>
  <c r="BL17" i="1"/>
  <c r="AV33" i="1"/>
  <c r="BE20" i="1"/>
  <c r="BE22" i="1" s="1"/>
  <c r="BD21" i="1"/>
  <c r="BD17" i="1"/>
  <c r="BD16" i="1"/>
  <c r="BC16" i="1"/>
  <c r="N34" i="1"/>
  <c r="N35" i="1"/>
  <c r="N36" i="1"/>
  <c r="N37" i="1"/>
  <c r="N38" i="1"/>
  <c r="N39" i="1"/>
  <c r="N42" i="1"/>
  <c r="N43" i="1"/>
  <c r="N44" i="1"/>
  <c r="N45" i="1"/>
  <c r="N46" i="1"/>
  <c r="N47" i="1"/>
  <c r="S34" i="1"/>
  <c r="S35" i="1"/>
  <c r="S36" i="1"/>
  <c r="S37" i="1"/>
  <c r="S38" i="1"/>
  <c r="S39" i="1"/>
  <c r="S42" i="1"/>
  <c r="S43" i="1"/>
  <c r="S44" i="1"/>
  <c r="S45" i="1"/>
  <c r="S46" i="1"/>
  <c r="S47" i="1"/>
  <c r="S75" i="1"/>
  <c r="S82" i="1" s="1"/>
  <c r="O75" i="1"/>
  <c r="O82" i="1" s="1"/>
  <c r="AV37" i="1"/>
  <c r="AV35" i="1"/>
  <c r="Y65" i="1"/>
  <c r="AW16" i="1"/>
  <c r="AW33" i="1" s="1"/>
  <c r="A25" i="1"/>
  <c r="B25" i="1" s="1"/>
  <c r="A32" i="1"/>
  <c r="B32" i="1" s="1"/>
  <c r="AO15" i="1"/>
  <c r="AD16" i="1"/>
  <c r="AD65" i="1" s="1"/>
  <c r="AD66" i="1" s="1"/>
  <c r="B47" i="1"/>
  <c r="B46" i="1"/>
  <c r="B45" i="1"/>
  <c r="B44" i="1"/>
  <c r="B43" i="1"/>
  <c r="B42" i="1"/>
  <c r="B39" i="1"/>
  <c r="B38" i="1"/>
  <c r="B37" i="1"/>
  <c r="B36" i="1"/>
  <c r="B35" i="1"/>
  <c r="B34" i="1"/>
  <c r="A47" i="1"/>
  <c r="A46" i="1"/>
  <c r="A45" i="1"/>
  <c r="A44" i="1"/>
  <c r="A43" i="1"/>
  <c r="A42" i="1"/>
  <c r="A39" i="1"/>
  <c r="A38" i="1"/>
  <c r="A37" i="1"/>
  <c r="A36" i="1"/>
  <c r="A35" i="1"/>
  <c r="A34" i="1"/>
  <c r="F75" i="1"/>
  <c r="F82" i="1" s="1"/>
  <c r="H34" i="1"/>
  <c r="H35" i="1"/>
  <c r="H36" i="1"/>
  <c r="H37" i="1"/>
  <c r="H38" i="1"/>
  <c r="H39" i="1"/>
  <c r="H42" i="1"/>
  <c r="H43" i="1"/>
  <c r="H44" i="1"/>
  <c r="H45" i="1"/>
  <c r="H46" i="1"/>
  <c r="H47" i="1"/>
  <c r="H75" i="1"/>
  <c r="H82" i="1" s="1"/>
  <c r="F19" i="1"/>
  <c r="F20" i="1"/>
  <c r="F21" i="1"/>
  <c r="F22" i="1"/>
  <c r="H20" i="1"/>
  <c r="H21" i="1"/>
  <c r="H22" i="1"/>
  <c r="H23" i="1"/>
  <c r="H18" i="1"/>
  <c r="AD34" i="1"/>
  <c r="AD35" i="1"/>
  <c r="AD36" i="1"/>
  <c r="AD37" i="1"/>
  <c r="AD38" i="1"/>
  <c r="AD39" i="1"/>
  <c r="AD42" i="1"/>
  <c r="AD43" i="1"/>
  <c r="AD44" i="1"/>
  <c r="AD45" i="1"/>
  <c r="AD46" i="1"/>
  <c r="AD47" i="1"/>
  <c r="AC75" i="1"/>
  <c r="AC82" i="1" s="1"/>
  <c r="AD75" i="1"/>
  <c r="AD82" i="1" s="1"/>
  <c r="AC26" i="1"/>
  <c r="A26" i="1" s="1"/>
  <c r="B26" i="1" s="1"/>
  <c r="AC27" i="1"/>
  <c r="A27" i="1" s="1"/>
  <c r="B27" i="1" s="1"/>
  <c r="AC28" i="1"/>
  <c r="A28" i="1" s="1"/>
  <c r="B28" i="1" s="1"/>
  <c r="AC29" i="1"/>
  <c r="A29" i="1" s="1"/>
  <c r="B29" i="1" s="1"/>
  <c r="AC30" i="1"/>
  <c r="A30" i="1" s="1"/>
  <c r="B30" i="1" s="1"/>
  <c r="AC31" i="1"/>
  <c r="A31" i="1" s="1"/>
  <c r="B31" i="1" s="1"/>
  <c r="M42" i="1"/>
  <c r="M43" i="1"/>
  <c r="M44" i="1"/>
  <c r="M45" i="1"/>
  <c r="M46" i="1"/>
  <c r="M47" i="1"/>
  <c r="M34" i="1"/>
  <c r="M35" i="1"/>
  <c r="M36" i="1"/>
  <c r="M37" i="1"/>
  <c r="M38" i="1"/>
  <c r="M39" i="1"/>
  <c r="L75" i="1"/>
  <c r="L82" i="1" s="1"/>
  <c r="AB75" i="1"/>
  <c r="AB82" i="1" s="1"/>
  <c r="AB26" i="1"/>
  <c r="AB27" i="1"/>
  <c r="AB28" i="1"/>
  <c r="AB29" i="1"/>
  <c r="AB30" i="1"/>
  <c r="AB31" i="1"/>
  <c r="M75" i="1"/>
  <c r="M82" i="1" s="1"/>
  <c r="M26" i="1"/>
  <c r="L26" i="1" s="1"/>
  <c r="AD26" i="1" s="1"/>
  <c r="M27" i="1"/>
  <c r="L27" i="1" s="1"/>
  <c r="AD27" i="1" s="1"/>
  <c r="M28" i="1"/>
  <c r="L28" i="1" s="1"/>
  <c r="AD28" i="1" s="1"/>
  <c r="M29" i="1"/>
  <c r="L29" i="1" s="1"/>
  <c r="AD29" i="1" s="1"/>
  <c r="M30" i="1"/>
  <c r="L30" i="1" s="1"/>
  <c r="AD30" i="1" s="1"/>
  <c r="M31" i="1"/>
  <c r="L31" i="1" s="1"/>
  <c r="AD31" i="1" s="1"/>
  <c r="AR17" i="2"/>
  <c r="AR11" i="2"/>
  <c r="T75" i="1"/>
  <c r="T82" i="1" s="1"/>
  <c r="T27" i="1"/>
  <c r="T29" i="1"/>
  <c r="T31" i="1"/>
  <c r="T26" i="1"/>
  <c r="R75" i="1"/>
  <c r="R82" i="1" s="1"/>
  <c r="R26" i="1"/>
  <c r="S26" i="1" s="1"/>
  <c r="R27" i="1"/>
  <c r="S27" i="1" s="1"/>
  <c r="R28" i="1"/>
  <c r="S28" i="1" s="1"/>
  <c r="R29" i="1"/>
  <c r="S29" i="1" s="1"/>
  <c r="R30" i="1"/>
  <c r="S30" i="1" s="1"/>
  <c r="R31" i="1"/>
  <c r="S31" i="1" s="1"/>
  <c r="J75" i="1"/>
  <c r="J82" i="1" s="1"/>
  <c r="P75" i="1"/>
  <c r="P82" i="1" s="1"/>
  <c r="Q75" i="1"/>
  <c r="Q82" i="1" s="1"/>
  <c r="U75" i="1"/>
  <c r="U82" i="1" s="1"/>
  <c r="W75" i="1"/>
  <c r="W82" i="1" s="1"/>
  <c r="X75" i="1"/>
  <c r="X82" i="1" s="1"/>
  <c r="Y75" i="1"/>
  <c r="Y82" i="1" s="1"/>
  <c r="Z75" i="1"/>
  <c r="Z82" i="1" s="1"/>
  <c r="AA75" i="1"/>
  <c r="AA82" i="1" s="1"/>
  <c r="G75" i="1"/>
  <c r="G82" i="1" s="1"/>
  <c r="E2" i="3"/>
  <c r="K3" i="3" s="1"/>
  <c r="L3" i="3" s="1"/>
  <c r="M3" i="3" s="1"/>
  <c r="N3" i="3" s="1"/>
  <c r="Y6" i="3"/>
  <c r="Y7" i="3"/>
  <c r="Y8" i="3"/>
  <c r="Y9" i="3"/>
  <c r="Y10" i="3"/>
  <c r="Y11" i="3"/>
  <c r="Y12" i="3"/>
  <c r="Y13" i="3"/>
  <c r="Y14" i="3"/>
  <c r="Y15" i="3"/>
  <c r="Y16" i="3"/>
  <c r="Y5" i="3"/>
  <c r="BU16" i="1" l="1"/>
  <c r="BE26" i="1"/>
  <c r="BE23" i="1"/>
  <c r="BE24" i="1" s="1"/>
  <c r="BV15" i="1"/>
  <c r="D64" i="1"/>
  <c r="BI17" i="1"/>
  <c r="O29" i="1"/>
  <c r="N29" i="1"/>
  <c r="O28" i="1"/>
  <c r="N28" i="1"/>
  <c r="O31" i="1"/>
  <c r="O27" i="1"/>
  <c r="N31" i="1"/>
  <c r="N27" i="1"/>
  <c r="O30" i="1"/>
  <c r="O26" i="1"/>
  <c r="N30" i="1"/>
  <c r="N26" i="1"/>
  <c r="S48" i="1"/>
  <c r="H48" i="1"/>
  <c r="AO17" i="1"/>
  <c r="A48" i="1"/>
  <c r="B48" i="1"/>
  <c r="AD48" i="1"/>
  <c r="M48" i="1"/>
  <c r="F3" i="3"/>
  <c r="I1" i="3" s="1"/>
  <c r="G3" i="3"/>
  <c r="H3" i="3" s="1"/>
  <c r="I3" i="3" s="1"/>
  <c r="J3" i="3" s="1"/>
  <c r="E3" i="3"/>
  <c r="G1" i="3" s="1"/>
  <c r="O3" i="3"/>
  <c r="P3" i="3" s="1"/>
  <c r="Q3" i="3" s="1"/>
  <c r="R3" i="3" s="1"/>
  <c r="S3" i="3" s="1"/>
  <c r="T3" i="3" s="1"/>
  <c r="W59" i="1"/>
  <c r="X59" i="1"/>
  <c r="C16" i="2"/>
  <c r="M18" i="1"/>
  <c r="BI22" i="1" l="1"/>
  <c r="BI23" i="1"/>
  <c r="N48" i="1"/>
  <c r="O18" i="1"/>
  <c r="N18" i="1"/>
  <c r="F2" i="3"/>
  <c r="H1" i="3" s="1"/>
  <c r="U9" i="2"/>
  <c r="S9" i="2"/>
  <c r="Q9" i="2"/>
  <c r="I45" i="1"/>
  <c r="X45" i="1"/>
  <c r="I46" i="1"/>
  <c r="X46" i="1"/>
  <c r="I47" i="1"/>
  <c r="X47" i="1"/>
  <c r="I42" i="1"/>
  <c r="X42" i="1"/>
  <c r="I43" i="1"/>
  <c r="X43" i="1"/>
  <c r="X44" i="1"/>
  <c r="I44" i="1"/>
  <c r="I35" i="1"/>
  <c r="X35" i="1"/>
  <c r="I36" i="1"/>
  <c r="X36" i="1"/>
  <c r="I37" i="1"/>
  <c r="X37" i="1"/>
  <c r="I38" i="1"/>
  <c r="X38" i="1"/>
  <c r="I39" i="1"/>
  <c r="X39" i="1"/>
  <c r="I34" i="1"/>
  <c r="X34" i="1"/>
  <c r="W15" i="1"/>
  <c r="G15" i="1"/>
  <c r="F15" i="1" s="1"/>
  <c r="Y15" i="1"/>
  <c r="U15" i="1"/>
  <c r="P15" i="1"/>
  <c r="U24" i="1"/>
  <c r="W24" i="1"/>
  <c r="X24" i="1"/>
  <c r="K9" i="2"/>
  <c r="D16" i="2"/>
  <c r="B17" i="2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H15" i="2"/>
  <c r="C17" i="2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C304" i="2" s="1"/>
  <c r="C305" i="2" s="1"/>
  <c r="C306" i="2" s="1"/>
  <c r="C307" i="2" s="1"/>
  <c r="C308" i="2" s="1"/>
  <c r="C309" i="2" s="1"/>
  <c r="C310" i="2" s="1"/>
  <c r="C311" i="2" s="1"/>
  <c r="C312" i="2" s="1"/>
  <c r="C313" i="2" s="1"/>
  <c r="C314" i="2" s="1"/>
  <c r="C315" i="2" s="1"/>
  <c r="O9" i="2"/>
  <c r="M9" i="2"/>
  <c r="I9" i="2"/>
  <c r="P19" i="1"/>
  <c r="L9" i="1"/>
  <c r="P21" i="1" s="1"/>
  <c r="H9" i="1"/>
  <c r="L8" i="1"/>
  <c r="BB17" i="1" l="1"/>
  <c r="O15" i="1"/>
  <c r="BC20" i="1"/>
  <c r="F38" i="1"/>
  <c r="F39" i="1"/>
  <c r="F37" i="1"/>
  <c r="F42" i="1"/>
  <c r="F36" i="1"/>
  <c r="F43" i="1"/>
  <c r="F46" i="1"/>
  <c r="F34" i="1"/>
  <c r="F44" i="1"/>
  <c r="F47" i="1"/>
  <c r="F35" i="1"/>
  <c r="F45" i="1"/>
  <c r="AW17" i="1"/>
  <c r="AW34" i="1" s="1"/>
  <c r="AX20" i="1"/>
  <c r="AX35" i="1" s="1"/>
  <c r="M19" i="1"/>
  <c r="Q21" i="1"/>
  <c r="Y21" i="1" s="1"/>
  <c r="M21" i="1"/>
  <c r="T15" i="1"/>
  <c r="BE21" i="1" s="1"/>
  <c r="BE17" i="1" s="1"/>
  <c r="V15" i="1"/>
  <c r="G35" i="1"/>
  <c r="W34" i="1"/>
  <c r="G47" i="1"/>
  <c r="Q15" i="1"/>
  <c r="BC21" i="1" s="1"/>
  <c r="Y35" i="1"/>
  <c r="P43" i="1"/>
  <c r="W42" i="1"/>
  <c r="W45" i="1"/>
  <c r="U34" i="1"/>
  <c r="G44" i="1"/>
  <c r="I48" i="1"/>
  <c r="P45" i="1"/>
  <c r="J1" i="3"/>
  <c r="Y47" i="1"/>
  <c r="U45" i="1"/>
  <c r="W47" i="1"/>
  <c r="G46" i="1"/>
  <c r="U44" i="1"/>
  <c r="Y43" i="1"/>
  <c r="G43" i="1"/>
  <c r="U47" i="1"/>
  <c r="Y46" i="1"/>
  <c r="W44" i="1"/>
  <c r="P47" i="1"/>
  <c r="W43" i="1"/>
  <c r="G42" i="1"/>
  <c r="W46" i="1"/>
  <c r="Y45" i="1"/>
  <c r="G45" i="1"/>
  <c r="U42" i="1"/>
  <c r="Y44" i="1"/>
  <c r="U43" i="1"/>
  <c r="Y42" i="1"/>
  <c r="U46" i="1"/>
  <c r="G18" i="1"/>
  <c r="AH6" i="4" s="1"/>
  <c r="AI6" i="4" s="1"/>
  <c r="P44" i="1"/>
  <c r="P46" i="1"/>
  <c r="P42" i="1"/>
  <c r="X40" i="1"/>
  <c r="G34" i="1"/>
  <c r="W36" i="1"/>
  <c r="W38" i="1"/>
  <c r="P34" i="1"/>
  <c r="W39" i="1"/>
  <c r="W37" i="1"/>
  <c r="W35" i="1"/>
  <c r="P39" i="1"/>
  <c r="P37" i="1"/>
  <c r="U35" i="1"/>
  <c r="U39" i="1"/>
  <c r="U37" i="1"/>
  <c r="Y36" i="1"/>
  <c r="P35" i="1"/>
  <c r="Y38" i="1"/>
  <c r="Z15" i="1"/>
  <c r="Y34" i="1"/>
  <c r="K15" i="1"/>
  <c r="L15" i="1" s="1"/>
  <c r="AS16" i="1" s="1"/>
  <c r="U38" i="1"/>
  <c r="U36" i="1"/>
  <c r="G38" i="1"/>
  <c r="G36" i="1"/>
  <c r="Y39" i="1"/>
  <c r="Y37" i="1"/>
  <c r="G39" i="1"/>
  <c r="P38" i="1"/>
  <c r="G37" i="1"/>
  <c r="P36" i="1"/>
  <c r="I15" i="2"/>
  <c r="K15" i="2"/>
  <c r="D17" i="2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08" i="2" s="1"/>
  <c r="D309" i="2" s="1"/>
  <c r="D310" i="2" s="1"/>
  <c r="D311" i="2" s="1"/>
  <c r="D312" i="2" s="1"/>
  <c r="D313" i="2" s="1"/>
  <c r="D314" i="2" s="1"/>
  <c r="D315" i="2" s="1"/>
  <c r="C8" i="2" s="1"/>
  <c r="AH8" i="4" s="1"/>
  <c r="Q19" i="1"/>
  <c r="K18" i="1"/>
  <c r="L18" i="1" s="1"/>
  <c r="Q18" i="1"/>
  <c r="R18" i="1" s="1"/>
  <c r="S18" i="1" s="1"/>
  <c r="AR7" i="2" l="1"/>
  <c r="AR13" i="2" s="1"/>
  <c r="AI8" i="4"/>
  <c r="Z21" i="1"/>
  <c r="J21" i="1" s="1"/>
  <c r="K21" i="1"/>
  <c r="L21" i="1" s="1"/>
  <c r="AY21" i="1"/>
  <c r="AY38" i="1" s="1"/>
  <c r="N21" i="1"/>
  <c r="O21" i="1"/>
  <c r="N19" i="1"/>
  <c r="O19" i="1"/>
  <c r="O36" i="1"/>
  <c r="O45" i="1"/>
  <c r="BB16" i="1"/>
  <c r="BC17" i="1"/>
  <c r="BC22" i="1" s="1"/>
  <c r="O37" i="1"/>
  <c r="O34" i="1"/>
  <c r="O35" i="1"/>
  <c r="O42" i="1"/>
  <c r="O44" i="1"/>
  <c r="O38" i="1"/>
  <c r="O39" i="1"/>
  <c r="O46" i="1"/>
  <c r="O43" i="1"/>
  <c r="O47" i="1"/>
  <c r="F48" i="1"/>
  <c r="R15" i="1"/>
  <c r="R47" i="1" s="1"/>
  <c r="AX21" i="1"/>
  <c r="AX36" i="1" s="1"/>
  <c r="F18" i="1"/>
  <c r="R21" i="1"/>
  <c r="S21" i="1" s="1"/>
  <c r="L44" i="1"/>
  <c r="L36" i="1"/>
  <c r="L45" i="1"/>
  <c r="L46" i="1"/>
  <c r="L37" i="1"/>
  <c r="L38" i="1"/>
  <c r="L47" i="1"/>
  <c r="L34" i="1"/>
  <c r="L42" i="1"/>
  <c r="L35" i="1"/>
  <c r="L39" i="1"/>
  <c r="L43" i="1"/>
  <c r="H3" i="1"/>
  <c r="K3" i="1" s="1"/>
  <c r="T36" i="1"/>
  <c r="T46" i="1"/>
  <c r="T42" i="1"/>
  <c r="T43" i="1"/>
  <c r="T37" i="1"/>
  <c r="T47" i="1"/>
  <c r="T45" i="1"/>
  <c r="T38" i="1"/>
  <c r="T44" i="1"/>
  <c r="T39" i="1"/>
  <c r="T34" i="1"/>
  <c r="T35" i="1"/>
  <c r="Y19" i="1"/>
  <c r="T19" i="1" s="1"/>
  <c r="R19" i="1"/>
  <c r="S19" i="1" s="1"/>
  <c r="T21" i="1"/>
  <c r="Q46" i="1"/>
  <c r="Q37" i="1"/>
  <c r="Q44" i="1"/>
  <c r="Q47" i="1"/>
  <c r="Q43" i="1"/>
  <c r="Q35" i="1"/>
  <c r="Q42" i="1"/>
  <c r="Q38" i="1"/>
  <c r="Q36" i="1"/>
  <c r="Q45" i="1"/>
  <c r="Q39" i="1"/>
  <c r="Q34" i="1"/>
  <c r="Q66" i="1"/>
  <c r="K46" i="1"/>
  <c r="K45" i="1"/>
  <c r="K42" i="1"/>
  <c r="K44" i="1"/>
  <c r="K47" i="1"/>
  <c r="K43" i="1"/>
  <c r="G48" i="1"/>
  <c r="Y48" i="1"/>
  <c r="Z47" i="1"/>
  <c r="Z44" i="1"/>
  <c r="Z46" i="1"/>
  <c r="Z42" i="1"/>
  <c r="Z45" i="1"/>
  <c r="Z43" i="1"/>
  <c r="P48" i="1"/>
  <c r="U40" i="1"/>
  <c r="W40" i="1"/>
  <c r="Z36" i="1"/>
  <c r="Z38" i="1"/>
  <c r="J15" i="1"/>
  <c r="AS22" i="1" s="1"/>
  <c r="Z35" i="1"/>
  <c r="Z37" i="1"/>
  <c r="Z39" i="1"/>
  <c r="AA15" i="1"/>
  <c r="AB15" i="1" s="1"/>
  <c r="Z34" i="1"/>
  <c r="K38" i="1"/>
  <c r="K37" i="1"/>
  <c r="K39" i="1"/>
  <c r="K35" i="1"/>
  <c r="K34" i="1"/>
  <c r="K36" i="1"/>
  <c r="Y18" i="1"/>
  <c r="G23" i="1"/>
  <c r="AR14" i="2" l="1"/>
  <c r="BU18" i="1" s="1"/>
  <c r="BU17" i="1"/>
  <c r="R44" i="1"/>
  <c r="BC26" i="1"/>
  <c r="BC23" i="1"/>
  <c r="BB26" i="1"/>
  <c r="AY20" i="1"/>
  <c r="AY37" i="1" s="1"/>
  <c r="BD20" i="1"/>
  <c r="O48" i="1"/>
  <c r="R46" i="1"/>
  <c r="R34" i="1"/>
  <c r="R38" i="1"/>
  <c r="R45" i="1"/>
  <c r="R37" i="1"/>
  <c r="R36" i="1"/>
  <c r="R43" i="1"/>
  <c r="R35" i="1"/>
  <c r="R42" i="1"/>
  <c r="R39" i="1"/>
  <c r="P23" i="1"/>
  <c r="M23" i="1" s="1"/>
  <c r="F23" i="1"/>
  <c r="F40" i="1" s="1"/>
  <c r="F50" i="1" s="1"/>
  <c r="AB38" i="1"/>
  <c r="AB39" i="1"/>
  <c r="AB42" i="1"/>
  <c r="AB35" i="1"/>
  <c r="AB43" i="1"/>
  <c r="AB34" i="1"/>
  <c r="AB44" i="1"/>
  <c r="AB45" i="1"/>
  <c r="AB36" i="1"/>
  <c r="AB46" i="1"/>
  <c r="AB37" i="1"/>
  <c r="AB47" i="1"/>
  <c r="AA21" i="1"/>
  <c r="AB21" i="1" s="1"/>
  <c r="AD21" i="1"/>
  <c r="AC21" i="1" s="1"/>
  <c r="A21" i="1" s="1"/>
  <c r="B21" i="1" s="1"/>
  <c r="L48" i="1"/>
  <c r="Z18" i="1"/>
  <c r="J18" i="1" s="1"/>
  <c r="AD18" i="1" s="1"/>
  <c r="AC18" i="1" s="1"/>
  <c r="A18" i="1" s="1"/>
  <c r="B18" i="1" s="1"/>
  <c r="T18" i="1"/>
  <c r="Z19" i="1"/>
  <c r="J19" i="1" s="1"/>
  <c r="K19" i="1"/>
  <c r="L19" i="1" s="1"/>
  <c r="Q48" i="1"/>
  <c r="J47" i="1"/>
  <c r="J43" i="1"/>
  <c r="J44" i="1"/>
  <c r="J45" i="1"/>
  <c r="J42" i="1"/>
  <c r="J46" i="1"/>
  <c r="Z48" i="1"/>
  <c r="K48" i="1"/>
  <c r="AA47" i="1"/>
  <c r="AA42" i="1"/>
  <c r="AA46" i="1"/>
  <c r="AA43" i="1"/>
  <c r="AA45" i="1"/>
  <c r="AA44" i="1"/>
  <c r="G40" i="1"/>
  <c r="G50" i="1" s="1"/>
  <c r="J35" i="1"/>
  <c r="J37" i="1"/>
  <c r="J39" i="1"/>
  <c r="J34" i="1"/>
  <c r="J36" i="1"/>
  <c r="J38" i="1"/>
  <c r="AA34" i="1"/>
  <c r="AA36" i="1"/>
  <c r="AA38" i="1"/>
  <c r="AA35" i="1"/>
  <c r="AA37" i="1"/>
  <c r="AA39" i="1"/>
  <c r="G24" i="1"/>
  <c r="BU20" i="1" l="1"/>
  <c r="W19" i="4"/>
  <c r="X19" i="4" s="1"/>
  <c r="BU19" i="1"/>
  <c r="BD26" i="1"/>
  <c r="BD23" i="1"/>
  <c r="BD22" i="1"/>
  <c r="R48" i="1"/>
  <c r="F24" i="1"/>
  <c r="F70" i="1" s="1"/>
  <c r="N23" i="1"/>
  <c r="O23" i="1"/>
  <c r="M15" i="2"/>
  <c r="M16" i="2" s="1"/>
  <c r="M17" i="2" s="1"/>
  <c r="Q23" i="1"/>
  <c r="R23" i="1" s="1"/>
  <c r="S23" i="1" s="1"/>
  <c r="I19" i="1"/>
  <c r="AK23" i="1"/>
  <c r="G69" i="1"/>
  <c r="AA19" i="1"/>
  <c r="AB19" i="1" s="1"/>
  <c r="G70" i="1"/>
  <c r="AB48" i="1"/>
  <c r="AD19" i="1"/>
  <c r="AC19" i="1" s="1"/>
  <c r="A19" i="1" s="1"/>
  <c r="B19" i="1" s="1"/>
  <c r="J48" i="1"/>
  <c r="AA48" i="1"/>
  <c r="AA18" i="1"/>
  <c r="AB18" i="1" s="1"/>
  <c r="BD24" i="1" l="1"/>
  <c r="I24" i="1"/>
  <c r="I70" i="1" s="1"/>
  <c r="I40" i="1"/>
  <c r="I50" i="1" s="1"/>
  <c r="H19" i="1"/>
  <c r="Y23" i="1"/>
  <c r="T23" i="1" s="1"/>
  <c r="M18" i="2"/>
  <c r="I69" i="1" l="1"/>
  <c r="AG23" i="1"/>
  <c r="H24" i="1"/>
  <c r="AH7" i="4"/>
  <c r="AI7" i="4" s="1"/>
  <c r="H40" i="1"/>
  <c r="H50" i="1" s="1"/>
  <c r="Z23" i="1"/>
  <c r="J23" i="1" s="1"/>
  <c r="BP14" i="1" s="1"/>
  <c r="K23" i="1"/>
  <c r="L23" i="1" s="1"/>
  <c r="M19" i="2"/>
  <c r="M20" i="2" s="1"/>
  <c r="M21" i="2" s="1"/>
  <c r="M22" i="2" s="1"/>
  <c r="M23" i="2" s="1"/>
  <c r="H70" i="1" l="1"/>
  <c r="AA23" i="1"/>
  <c r="AB23" i="1" s="1"/>
  <c r="AD23" i="1"/>
  <c r="AC23" i="1" s="1"/>
  <c r="A23" i="1" s="1"/>
  <c r="B23" i="1" s="1"/>
  <c r="M24" i="2"/>
  <c r="M25" i="2" l="1"/>
  <c r="M26" i="2" l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l="1"/>
  <c r="M63" i="2" l="1"/>
  <c r="M64" i="2" l="1"/>
  <c r="M65" i="2" l="1"/>
  <c r="M66" i="2" l="1"/>
  <c r="M67" i="2" l="1"/>
  <c r="M68" i="2" l="1"/>
  <c r="M69" i="2" l="1"/>
  <c r="M70" i="2" l="1"/>
  <c r="M71" i="2" l="1"/>
  <c r="M72" i="2" l="1"/>
  <c r="M73" i="2" l="1"/>
  <c r="M74" i="2" l="1"/>
  <c r="M75" i="2" l="1"/>
  <c r="M76" i="2" l="1"/>
  <c r="M77" i="2" l="1"/>
  <c r="M78" i="2" l="1"/>
  <c r="M79" i="2" l="1"/>
  <c r="M80" i="2" l="1"/>
  <c r="M81" i="2" l="1"/>
  <c r="M82" i="2" l="1"/>
  <c r="M83" i="2" l="1"/>
  <c r="M84" i="2" l="1"/>
  <c r="M85" i="2" l="1"/>
  <c r="M86" i="2" l="1"/>
  <c r="M87" i="2" l="1"/>
  <c r="M88" i="2" l="1"/>
  <c r="M89" i="2" l="1"/>
  <c r="M90" i="2" l="1"/>
  <c r="M91" i="2" l="1"/>
  <c r="M92" i="2" l="1"/>
  <c r="M93" i="2" l="1"/>
  <c r="M94" i="2" l="1"/>
  <c r="M95" i="2" l="1"/>
  <c r="M96" i="2" l="1"/>
  <c r="M97" i="2" l="1"/>
  <c r="M98" i="2" l="1"/>
  <c r="M99" i="2" l="1"/>
  <c r="M100" i="2" l="1"/>
  <c r="M101" i="2" l="1"/>
  <c r="M102" i="2" l="1"/>
  <c r="M103" i="2" l="1"/>
  <c r="M104" i="2" l="1"/>
  <c r="M105" i="2" l="1"/>
  <c r="M106" i="2" l="1"/>
  <c r="M107" i="2" l="1"/>
  <c r="M108" i="2" l="1"/>
  <c r="M109" i="2" l="1"/>
  <c r="M110" i="2" l="1"/>
  <c r="M111" i="2" l="1"/>
  <c r="M112" i="2" l="1"/>
  <c r="M113" i="2" l="1"/>
  <c r="M114" i="2" l="1"/>
  <c r="M115" i="2" l="1"/>
  <c r="M116" i="2" l="1"/>
  <c r="M117" i="2" l="1"/>
  <c r="M118" i="2" l="1"/>
  <c r="M119" i="2" l="1"/>
  <c r="M120" i="2" l="1"/>
  <c r="M121" i="2" l="1"/>
  <c r="M122" i="2" l="1"/>
  <c r="M123" i="2" l="1"/>
  <c r="M124" i="2" l="1"/>
  <c r="M125" i="2" l="1"/>
  <c r="M126" i="2" l="1"/>
  <c r="M127" i="2" l="1"/>
  <c r="M128" i="2" l="1"/>
  <c r="M129" i="2" l="1"/>
  <c r="M130" i="2" l="1"/>
  <c r="M131" i="2" l="1"/>
  <c r="M132" i="2" l="1"/>
  <c r="M133" i="2" l="1"/>
  <c r="M134" i="2" l="1"/>
  <c r="M135" i="2" l="1"/>
  <c r="M136" i="2" l="1"/>
  <c r="M137" i="2" l="1"/>
  <c r="M138" i="2" l="1"/>
  <c r="M139" i="2" l="1"/>
  <c r="M140" i="2" l="1"/>
  <c r="M141" i="2" l="1"/>
  <c r="M142" i="2" l="1"/>
  <c r="M143" i="2" l="1"/>
  <c r="M144" i="2" l="1"/>
  <c r="M145" i="2" l="1"/>
  <c r="M146" i="2" l="1"/>
  <c r="M147" i="2" l="1"/>
  <c r="M148" i="2" l="1"/>
  <c r="M149" i="2" l="1"/>
  <c r="M150" i="2" l="1"/>
  <c r="M151" i="2" l="1"/>
  <c r="M152" i="2" l="1"/>
  <c r="M153" i="2" l="1"/>
  <c r="M154" i="2" l="1"/>
  <c r="M155" i="2" l="1"/>
  <c r="M156" i="2" l="1"/>
  <c r="M157" i="2" l="1"/>
  <c r="M158" i="2" l="1"/>
  <c r="M159" i="2" l="1"/>
  <c r="M160" i="2" l="1"/>
  <c r="M161" i="2" l="1"/>
  <c r="M162" i="2" l="1"/>
  <c r="M163" i="2" l="1"/>
  <c r="M164" i="2" l="1"/>
  <c r="M165" i="2" l="1"/>
  <c r="M166" i="2" l="1"/>
  <c r="M167" i="2" l="1"/>
  <c r="M168" i="2" l="1"/>
  <c r="M169" i="2" l="1"/>
  <c r="M170" i="2" l="1"/>
  <c r="M171" i="2" l="1"/>
  <c r="M172" i="2" l="1"/>
  <c r="M173" i="2" l="1"/>
  <c r="M174" i="2" l="1"/>
  <c r="M175" i="2" l="1"/>
  <c r="M176" i="2" l="1"/>
  <c r="M177" i="2" l="1"/>
  <c r="M178" i="2" l="1"/>
  <c r="M179" i="2" l="1"/>
  <c r="M180" i="2" l="1"/>
  <c r="M181" i="2" l="1"/>
  <c r="M182" i="2" l="1"/>
  <c r="M183" i="2" l="1"/>
  <c r="M184" i="2" l="1"/>
  <c r="M185" i="2" l="1"/>
  <c r="M186" i="2" l="1"/>
  <c r="M187" i="2" l="1"/>
  <c r="M188" i="2" l="1"/>
  <c r="M189" i="2" l="1"/>
  <c r="M190" i="2" l="1"/>
  <c r="M191" i="2" l="1"/>
  <c r="M192" i="2" l="1"/>
  <c r="M193" i="2" l="1"/>
  <c r="M194" i="2" l="1"/>
  <c r="M195" i="2" l="1"/>
  <c r="M196" i="2" l="1"/>
  <c r="M197" i="2" l="1"/>
  <c r="M198" i="2" l="1"/>
  <c r="M199" i="2" l="1"/>
  <c r="M200" i="2" l="1"/>
  <c r="M201" i="2" l="1"/>
  <c r="M202" i="2" l="1"/>
  <c r="M203" i="2" l="1"/>
  <c r="M204" i="2" l="1"/>
  <c r="M205" i="2" l="1"/>
  <c r="M206" i="2" l="1"/>
  <c r="M207" i="2" l="1"/>
  <c r="M208" i="2" l="1"/>
  <c r="M209" i="2" l="1"/>
  <c r="M210" i="2" l="1"/>
  <c r="M211" i="2" l="1"/>
  <c r="M212" i="2" l="1"/>
  <c r="M213" i="2" l="1"/>
  <c r="M214" i="2" l="1"/>
  <c r="M215" i="2" l="1"/>
  <c r="M216" i="2" l="1"/>
  <c r="M217" i="2" l="1"/>
  <c r="M218" i="2" l="1"/>
  <c r="M219" i="2" l="1"/>
  <c r="M220" i="2" l="1"/>
  <c r="M221" i="2" l="1"/>
  <c r="M222" i="2" l="1"/>
  <c r="M223" i="2" l="1"/>
  <c r="M224" i="2" l="1"/>
  <c r="M225" i="2" l="1"/>
  <c r="M226" i="2" l="1"/>
  <c r="M227" i="2" l="1"/>
  <c r="M228" i="2" l="1"/>
  <c r="M229" i="2" l="1"/>
  <c r="M230" i="2" l="1"/>
  <c r="M231" i="2" l="1"/>
  <c r="M232" i="2" l="1"/>
  <c r="M233" i="2" l="1"/>
  <c r="M234" i="2" l="1"/>
  <c r="M235" i="2" l="1"/>
  <c r="M236" i="2" l="1"/>
  <c r="M237" i="2" l="1"/>
  <c r="M238" i="2" l="1"/>
  <c r="M239" i="2" l="1"/>
  <c r="M240" i="2" l="1"/>
  <c r="M241" i="2" l="1"/>
  <c r="M242" i="2" l="1"/>
  <c r="M243" i="2" l="1"/>
  <c r="M244" i="2" l="1"/>
  <c r="M245" i="2" l="1"/>
  <c r="M246" i="2" l="1"/>
  <c r="M247" i="2" l="1"/>
  <c r="M248" i="2" l="1"/>
  <c r="M249" i="2" l="1"/>
  <c r="M250" i="2" l="1"/>
  <c r="M251" i="2" l="1"/>
  <c r="M252" i="2" l="1"/>
  <c r="M253" i="2" l="1"/>
  <c r="M254" i="2" l="1"/>
  <c r="M255" i="2" l="1"/>
  <c r="M256" i="2" l="1"/>
  <c r="M257" i="2" l="1"/>
  <c r="M258" i="2" l="1"/>
  <c r="M259" i="2" l="1"/>
  <c r="M260" i="2" l="1"/>
  <c r="M261" i="2" l="1"/>
  <c r="M262" i="2" l="1"/>
  <c r="M263" i="2" l="1"/>
  <c r="M264" i="2" l="1"/>
  <c r="M265" i="2" l="1"/>
  <c r="M266" i="2" l="1"/>
  <c r="M267" i="2" l="1"/>
  <c r="M268" i="2" l="1"/>
  <c r="M269" i="2" l="1"/>
  <c r="M270" i="2" l="1"/>
  <c r="M271" i="2" l="1"/>
  <c r="M272" i="2" l="1"/>
  <c r="M273" i="2" l="1"/>
  <c r="M274" i="2" l="1"/>
  <c r="M275" i="2" l="1"/>
  <c r="M276" i="2" l="1"/>
  <c r="M277" i="2" l="1"/>
  <c r="M278" i="2" l="1"/>
  <c r="M279" i="2" l="1"/>
  <c r="M280" i="2" l="1"/>
  <c r="M281" i="2" l="1"/>
  <c r="M282" i="2" l="1"/>
  <c r="M283" i="2" l="1"/>
  <c r="M284" i="2" l="1"/>
  <c r="M285" i="2" l="1"/>
  <c r="M286" i="2" l="1"/>
  <c r="M287" i="2" l="1"/>
  <c r="M288" i="2" l="1"/>
  <c r="M289" i="2" l="1"/>
  <c r="M290" i="2" l="1"/>
  <c r="M291" i="2" l="1"/>
  <c r="M292" i="2" l="1"/>
  <c r="M293" i="2" l="1"/>
  <c r="M294" i="2" l="1"/>
  <c r="M295" i="2" l="1"/>
  <c r="M296" i="2" l="1"/>
  <c r="M297" i="2" l="1"/>
  <c r="M298" i="2" l="1"/>
  <c r="M299" i="2" l="1"/>
  <c r="M300" i="2" l="1"/>
  <c r="M301" i="2" l="1"/>
  <c r="M302" i="2" l="1"/>
  <c r="M303" i="2" l="1"/>
  <c r="M304" i="2" l="1"/>
  <c r="M305" i="2" l="1"/>
  <c r="M306" i="2" l="1"/>
  <c r="M307" i="2" l="1"/>
  <c r="M308" i="2" l="1"/>
  <c r="M309" i="2" l="1"/>
  <c r="M310" i="2" l="1"/>
  <c r="M311" i="2" l="1"/>
  <c r="M312" i="2" l="1"/>
  <c r="M313" i="2" l="1"/>
  <c r="M314" i="2" l="1"/>
  <c r="M315" i="2" l="1"/>
  <c r="Y66" i="1" l="1"/>
  <c r="Y12" i="1"/>
  <c r="Y13" i="1"/>
  <c r="Y24" i="1" l="1"/>
  <c r="Y52" i="1" s="1"/>
  <c r="Y22" i="1" l="1"/>
  <c r="K22" i="1" s="1"/>
  <c r="L22" i="1" s="1"/>
  <c r="Y20" i="1"/>
  <c r="Y77" i="1"/>
  <c r="Y55" i="1"/>
  <c r="Y57" i="1" s="1"/>
  <c r="Y60" i="1" s="1"/>
  <c r="T22" i="1" l="1"/>
  <c r="Z22" i="1"/>
  <c r="J22" i="1" s="1"/>
  <c r="Y70" i="1"/>
  <c r="Y71" i="1" s="1"/>
  <c r="K20" i="1"/>
  <c r="K24" i="1" s="1"/>
  <c r="K69" i="1" s="1"/>
  <c r="Y40" i="1"/>
  <c r="Y50" i="1" s="1"/>
  <c r="Z20" i="1"/>
  <c r="J20" i="1" s="1"/>
  <c r="T20" i="1"/>
  <c r="L20" i="1" l="1"/>
  <c r="L24" i="1" s="1"/>
  <c r="Y78" i="1"/>
  <c r="Y83" i="1" s="1"/>
  <c r="Z16" i="1" s="1"/>
  <c r="Z65" i="1" s="1"/>
  <c r="Z66" i="1" s="1"/>
  <c r="Z40" i="1"/>
  <c r="Z50" i="1" s="1"/>
  <c r="K40" i="1"/>
  <c r="K50" i="1" s="1"/>
  <c r="Z24" i="1"/>
  <c r="Z70" i="1" s="1"/>
  <c r="T24" i="1"/>
  <c r="T70" i="1" s="1"/>
  <c r="AA20" i="1"/>
  <c r="T40" i="1"/>
  <c r="L40" i="1"/>
  <c r="L50" i="1" s="1"/>
  <c r="AA22" i="1"/>
  <c r="AB22" i="1" s="1"/>
  <c r="AD22" i="1"/>
  <c r="AC22" i="1" s="1"/>
  <c r="A22" i="1" s="1"/>
  <c r="B22" i="1" s="1"/>
  <c r="K70" i="1"/>
  <c r="P20" i="1"/>
  <c r="P22" i="1"/>
  <c r="M22" i="1" s="1"/>
  <c r="J40" i="1"/>
  <c r="J50" i="1" s="1"/>
  <c r="J24" i="1"/>
  <c r="AD20" i="1" l="1"/>
  <c r="AC20" i="1" s="1"/>
  <c r="A20" i="1" s="1"/>
  <c r="Z71" i="1"/>
  <c r="K16" i="1"/>
  <c r="Z52" i="1"/>
  <c r="Z77" i="1" s="1"/>
  <c r="AS24" i="1"/>
  <c r="BP17" i="1"/>
  <c r="BP21" i="1" s="1"/>
  <c r="N22" i="1"/>
  <c r="O22" i="1"/>
  <c r="L70" i="1"/>
  <c r="AS18" i="1"/>
  <c r="Q22" i="1"/>
  <c r="U30" i="1" s="1"/>
  <c r="V30" i="1" s="1"/>
  <c r="L15" i="2"/>
  <c r="AA40" i="1"/>
  <c r="AA50" i="1" s="1"/>
  <c r="P40" i="1"/>
  <c r="P50" i="1" s="1"/>
  <c r="P24" i="1"/>
  <c r="P70" i="1" s="1"/>
  <c r="J15" i="2"/>
  <c r="Q20" i="1"/>
  <c r="R20" i="1" s="1"/>
  <c r="S20" i="1" s="1"/>
  <c r="M20" i="1"/>
  <c r="AA24" i="1"/>
  <c r="AA69" i="1" s="1"/>
  <c r="AB20" i="1"/>
  <c r="J70" i="1"/>
  <c r="AD24" i="1" l="1"/>
  <c r="AD70" i="1" s="1"/>
  <c r="AD40" i="1"/>
  <c r="AD50" i="1" s="1"/>
  <c r="K65" i="1"/>
  <c r="K66" i="1" s="1"/>
  <c r="K71" i="1"/>
  <c r="K72" i="1" s="1"/>
  <c r="K73" i="1" s="1"/>
  <c r="Z78" i="1"/>
  <c r="Z83" i="1" s="1"/>
  <c r="AA16" i="1" s="1"/>
  <c r="Z55" i="1"/>
  <c r="Z57" i="1" s="1"/>
  <c r="Z60" i="1" s="1"/>
  <c r="K52" i="1"/>
  <c r="K78" i="1" s="1"/>
  <c r="BP22" i="1"/>
  <c r="W10" i="4"/>
  <c r="X10" i="4" s="1"/>
  <c r="R22" i="1"/>
  <c r="S22" i="1" s="1"/>
  <c r="S24" i="1" s="1"/>
  <c r="S70" i="1" s="1"/>
  <c r="N20" i="1"/>
  <c r="O20" i="1"/>
  <c r="S15" i="2"/>
  <c r="Z15" i="2" s="1"/>
  <c r="AA70" i="1"/>
  <c r="B20" i="1"/>
  <c r="B40" i="1" s="1"/>
  <c r="B50" i="1" s="1"/>
  <c r="A40" i="1"/>
  <c r="A50" i="1" s="1"/>
  <c r="AD52" i="1"/>
  <c r="AD77" i="1" s="1"/>
  <c r="O15" i="2"/>
  <c r="V15" i="2" s="1"/>
  <c r="Q24" i="1"/>
  <c r="Q52" i="1" s="1"/>
  <c r="Q40" i="1"/>
  <c r="Q50" i="1" s="1"/>
  <c r="T15" i="2"/>
  <c r="AA15" i="2" s="1"/>
  <c r="R15" i="2"/>
  <c r="Y15" i="2" s="1"/>
  <c r="Q15" i="2"/>
  <c r="X15" i="2" s="1"/>
  <c r="U28" i="1"/>
  <c r="V28" i="1" s="1"/>
  <c r="P15" i="2"/>
  <c r="W15" i="2" s="1"/>
  <c r="AC24" i="1"/>
  <c r="M24" i="1"/>
  <c r="M70" i="1" s="1"/>
  <c r="M40" i="1"/>
  <c r="M50" i="1" s="1"/>
  <c r="AB24" i="1"/>
  <c r="AB70" i="1" s="1"/>
  <c r="AB40" i="1"/>
  <c r="AB50" i="1" s="1"/>
  <c r="T30" i="1"/>
  <c r="AO23" i="1" l="1"/>
  <c r="K77" i="1"/>
  <c r="K83" i="1" s="1"/>
  <c r="L16" i="1" s="1"/>
  <c r="AS17" i="1" s="1"/>
  <c r="AS28" i="1" s="1"/>
  <c r="K55" i="1"/>
  <c r="K57" i="1" s="1"/>
  <c r="K60" i="1" s="1"/>
  <c r="R40" i="1"/>
  <c r="R50" i="1" s="1"/>
  <c r="R24" i="1"/>
  <c r="R70" i="1" s="1"/>
  <c r="S40" i="1"/>
  <c r="S50" i="1" s="1"/>
  <c r="V32" i="1"/>
  <c r="V48" i="1"/>
  <c r="V50" i="1" s="1"/>
  <c r="V53" i="1"/>
  <c r="T28" i="1"/>
  <c r="T53" i="1" s="1"/>
  <c r="T56" i="1" s="1"/>
  <c r="AD55" i="1"/>
  <c r="AD57" i="1" s="1"/>
  <c r="AD60" i="1" s="1"/>
  <c r="O24" i="1"/>
  <c r="O70" i="1" s="1"/>
  <c r="O40" i="1"/>
  <c r="O50" i="1" s="1"/>
  <c r="N24" i="1"/>
  <c r="N70" i="1" s="1"/>
  <c r="N40" i="1"/>
  <c r="N50" i="1" s="1"/>
  <c r="BD18" i="1" s="1"/>
  <c r="BD28" i="1" s="1"/>
  <c r="W13" i="4" s="1"/>
  <c r="X13" i="4" s="1"/>
  <c r="AW18" i="1"/>
  <c r="AV34" i="1" s="1"/>
  <c r="Q69" i="1"/>
  <c r="Q70" i="1"/>
  <c r="Q71" i="1" s="1"/>
  <c r="AC70" i="1"/>
  <c r="A24" i="1"/>
  <c r="B24" i="1" s="1"/>
  <c r="B11" i="1" s="1"/>
  <c r="B12" i="1" s="1"/>
  <c r="AH50" i="1"/>
  <c r="AX18" i="1"/>
  <c r="AV36" i="1" s="1"/>
  <c r="AC15" i="2"/>
  <c r="E15" i="2" s="1"/>
  <c r="J16" i="2" s="1"/>
  <c r="U53" i="1"/>
  <c r="U78" i="1" s="1"/>
  <c r="U71" i="1" s="1"/>
  <c r="AE15" i="2"/>
  <c r="F15" i="2" s="1"/>
  <c r="K16" i="2" s="1"/>
  <c r="U48" i="1"/>
  <c r="U50" i="1" s="1"/>
  <c r="J10" i="1"/>
  <c r="U32" i="1"/>
  <c r="BL14" i="1" s="1"/>
  <c r="AD78" i="1"/>
  <c r="AD83" i="1" s="1"/>
  <c r="AD71" i="1"/>
  <c r="AA65" i="1"/>
  <c r="AA66" i="1" s="1"/>
  <c r="J16" i="1"/>
  <c r="AA71" i="1"/>
  <c r="AA52" i="1"/>
  <c r="AR18" i="2"/>
  <c r="AR19" i="2" s="1"/>
  <c r="Q55" i="1"/>
  <c r="Q57" i="1" s="1"/>
  <c r="Q60" i="1" s="1"/>
  <c r="Q77" i="1"/>
  <c r="L52" i="1" l="1"/>
  <c r="L65" i="1"/>
  <c r="L66" i="1" s="1"/>
  <c r="L71" i="1"/>
  <c r="T32" i="1"/>
  <c r="T48" i="1"/>
  <c r="T50" i="1" s="1"/>
  <c r="AY18" i="1" s="1"/>
  <c r="AV38" i="1" s="1"/>
  <c r="V56" i="1"/>
  <c r="V77" i="1"/>
  <c r="V78" i="1"/>
  <c r="BL23" i="1"/>
  <c r="BI18" i="1" s="1"/>
  <c r="BL19" i="1"/>
  <c r="BH18" i="1" s="1"/>
  <c r="BL26" i="1"/>
  <c r="U12" i="1"/>
  <c r="Q78" i="1"/>
  <c r="AR16" i="2" s="1"/>
  <c r="AR20" i="2" s="1"/>
  <c r="R8" i="1" s="1"/>
  <c r="P16" i="1" s="1"/>
  <c r="BC18" i="1"/>
  <c r="BC28" i="1" s="1"/>
  <c r="W12" i="4" s="1"/>
  <c r="X12" i="4" s="1"/>
  <c r="N13" i="1"/>
  <c r="Q72" i="1"/>
  <c r="Q73" i="1" s="1"/>
  <c r="S13" i="1"/>
  <c r="W32" i="1"/>
  <c r="W28" i="1" s="1"/>
  <c r="AO11" i="4" s="1"/>
  <c r="AO12" i="4" s="1"/>
  <c r="AO13" i="4" s="1"/>
  <c r="AO14" i="4" s="1"/>
  <c r="AO15" i="4" s="1"/>
  <c r="AO16" i="4" s="1"/>
  <c r="AO17" i="4" s="1"/>
  <c r="AO18" i="4" s="1"/>
  <c r="AO19" i="4" s="1"/>
  <c r="AO20" i="4" s="1"/>
  <c r="AO21" i="4" s="1"/>
  <c r="AO22" i="4" s="1"/>
  <c r="AO23" i="4" s="1"/>
  <c r="AO24" i="4" s="1"/>
  <c r="AO25" i="4" s="1"/>
  <c r="AO26" i="4" s="1"/>
  <c r="AO27" i="4" s="1"/>
  <c r="AO28" i="4" s="1"/>
  <c r="AO29" i="4" s="1"/>
  <c r="AO30" i="4" s="1"/>
  <c r="AO31" i="4" s="1"/>
  <c r="AO32" i="4" s="1"/>
  <c r="AO33" i="4" s="1"/>
  <c r="AO34" i="4" s="1"/>
  <c r="AO35" i="4" s="1"/>
  <c r="AO36" i="4" s="1"/>
  <c r="AO37" i="4" s="1"/>
  <c r="AO38" i="4" s="1"/>
  <c r="AO39" i="4" s="1"/>
  <c r="AO40" i="4" s="1"/>
  <c r="AO41" i="4" s="1"/>
  <c r="AO42" i="4" s="1"/>
  <c r="AO43" i="4" s="1"/>
  <c r="AO44" i="4" s="1"/>
  <c r="AO45" i="4" s="1"/>
  <c r="AO46" i="4" s="1"/>
  <c r="AO47" i="4" s="1"/>
  <c r="AO48" i="4" s="1"/>
  <c r="AO49" i="4" s="1"/>
  <c r="AO50" i="4" s="1"/>
  <c r="AO51" i="4" s="1"/>
  <c r="U77" i="1"/>
  <c r="U83" i="1" s="1"/>
  <c r="U56" i="1"/>
  <c r="U69" i="1"/>
  <c r="AS23" i="1"/>
  <c r="AS29" i="1" s="1"/>
  <c r="AS30" i="1" s="1"/>
  <c r="J65" i="1"/>
  <c r="J66" i="1" s="1"/>
  <c r="L16" i="2"/>
  <c r="I16" i="2"/>
  <c r="H16" i="2"/>
  <c r="AA72" i="1"/>
  <c r="AA73" i="1" s="1"/>
  <c r="J52" i="1"/>
  <c r="J71" i="1"/>
  <c r="AA78" i="1"/>
  <c r="AA55" i="1"/>
  <c r="AA57" i="1" s="1"/>
  <c r="AA60" i="1" s="1"/>
  <c r="AA77" i="1"/>
  <c r="L55" i="1"/>
  <c r="L57" i="1" s="1"/>
  <c r="L60" i="1" s="1"/>
  <c r="L77" i="1"/>
  <c r="L78" i="1"/>
  <c r="BE18" i="1" l="1"/>
  <c r="BE29" i="1" s="1"/>
  <c r="BE30" i="1" s="1"/>
  <c r="BE32" i="1" s="1"/>
  <c r="BH29" i="1"/>
  <c r="BH30" i="1" s="1"/>
  <c r="BH32" i="1" s="1"/>
  <c r="BH28" i="1"/>
  <c r="W17" i="4" s="1"/>
  <c r="X17" i="4" s="1"/>
  <c r="BB28" i="1"/>
  <c r="W11" i="4" s="1"/>
  <c r="X11" i="4" s="1"/>
  <c r="AH10" i="4"/>
  <c r="AI10" i="4" s="1"/>
  <c r="AH11" i="4"/>
  <c r="AI11" i="4" s="1"/>
  <c r="BI28" i="1"/>
  <c r="W18" i="4" s="1"/>
  <c r="X18" i="4" s="1"/>
  <c r="V83" i="1"/>
  <c r="Q83" i="1"/>
  <c r="R16" i="1" s="1"/>
  <c r="R71" i="1" s="1"/>
  <c r="W30" i="1"/>
  <c r="X30" i="1" s="1"/>
  <c r="P65" i="1"/>
  <c r="P66" i="1" s="1"/>
  <c r="R16" i="2"/>
  <c r="Y16" i="2" s="1"/>
  <c r="P16" i="2"/>
  <c r="W16" i="2" s="1"/>
  <c r="T16" i="2"/>
  <c r="AA16" i="2" s="1"/>
  <c r="S16" i="2"/>
  <c r="Z16" i="2" s="1"/>
  <c r="O16" i="2"/>
  <c r="V16" i="2" s="1"/>
  <c r="Q16" i="2"/>
  <c r="X16" i="2" s="1"/>
  <c r="AA83" i="1"/>
  <c r="AB16" i="1" s="1"/>
  <c r="AB65" i="1" s="1"/>
  <c r="AB66" i="1" s="1"/>
  <c r="L83" i="1"/>
  <c r="J55" i="1"/>
  <c r="J57" i="1" s="1"/>
  <c r="J60" i="1" s="1"/>
  <c r="J77" i="1"/>
  <c r="J78" i="1"/>
  <c r="P71" i="1"/>
  <c r="P52" i="1"/>
  <c r="P55" i="1" s="1"/>
  <c r="P57" i="1" s="1"/>
  <c r="P60" i="1" s="1"/>
  <c r="X28" i="1"/>
  <c r="BE28" i="1" l="1"/>
  <c r="W14" i="4" s="1"/>
  <c r="X14" i="4" s="1"/>
  <c r="W53" i="1"/>
  <c r="W77" i="1" s="1"/>
  <c r="W16" i="1"/>
  <c r="W65" i="1" s="1"/>
  <c r="W66" i="1" s="1"/>
  <c r="W48" i="1"/>
  <c r="W50" i="1" s="1"/>
  <c r="R52" i="1"/>
  <c r="R55" i="1" s="1"/>
  <c r="R57" i="1" s="1"/>
  <c r="R60" i="1" s="1"/>
  <c r="R65" i="1"/>
  <c r="R66" i="1" s="1"/>
  <c r="AC16" i="2"/>
  <c r="E16" i="2" s="1"/>
  <c r="J17" i="2" s="1"/>
  <c r="AE16" i="2"/>
  <c r="F16" i="2" s="1"/>
  <c r="K17" i="2" s="1"/>
  <c r="AB71" i="1"/>
  <c r="AB52" i="1"/>
  <c r="AB55" i="1" s="1"/>
  <c r="AB57" i="1" s="1"/>
  <c r="AB60" i="1" s="1"/>
  <c r="X53" i="1"/>
  <c r="X77" i="1" s="1"/>
  <c r="P78" i="1"/>
  <c r="P77" i="1"/>
  <c r="J83" i="1"/>
  <c r="X48" i="1"/>
  <c r="X50" i="1" s="1"/>
  <c r="X32" i="1"/>
  <c r="X16" i="1" s="1"/>
  <c r="BL22" i="1" s="1"/>
  <c r="BV16" i="1" s="1"/>
  <c r="W78" i="1" l="1"/>
  <c r="W83" i="1" s="1"/>
  <c r="W56" i="1"/>
  <c r="BL18" i="1"/>
  <c r="BL27" i="1" s="1"/>
  <c r="BL28" i="1" s="1"/>
  <c r="BV17" i="1" s="1"/>
  <c r="BV19" i="1" s="1"/>
  <c r="V16" i="1"/>
  <c r="V52" i="1" s="1"/>
  <c r="V55" i="1" s="1"/>
  <c r="V57" i="1" s="1"/>
  <c r="V60" i="1" s="1"/>
  <c r="W52" i="1"/>
  <c r="W55" i="1" s="1"/>
  <c r="R78" i="1"/>
  <c r="R77" i="1"/>
  <c r="I17" i="2"/>
  <c r="H17" i="2"/>
  <c r="AB77" i="1"/>
  <c r="L17" i="2"/>
  <c r="P83" i="1"/>
  <c r="X78" i="1"/>
  <c r="X83" i="1" s="1"/>
  <c r="X56" i="1"/>
  <c r="AB78" i="1"/>
  <c r="X65" i="1"/>
  <c r="X66" i="1" s="1"/>
  <c r="X52" i="1"/>
  <c r="X55" i="1" s="1"/>
  <c r="X13" i="1"/>
  <c r="W57" i="1" l="1"/>
  <c r="W60" i="1" s="1"/>
  <c r="W21" i="4"/>
  <c r="X21" i="4" s="1"/>
  <c r="V65" i="1"/>
  <c r="V66" i="1" s="1"/>
  <c r="R83" i="1"/>
  <c r="S16" i="1" s="1"/>
  <c r="S52" i="1" s="1"/>
  <c r="S78" i="1" s="1"/>
  <c r="BV27" i="1"/>
  <c r="BV28" i="1" s="1"/>
  <c r="BV29" i="1" s="1"/>
  <c r="W20" i="4" s="1"/>
  <c r="X20" i="4" s="1"/>
  <c r="BV20" i="1"/>
  <c r="Q17" i="2"/>
  <c r="X17" i="2" s="1"/>
  <c r="O17" i="2"/>
  <c r="V17" i="2" s="1"/>
  <c r="T17" i="2"/>
  <c r="AA17" i="2" s="1"/>
  <c r="R17" i="2"/>
  <c r="Y17" i="2" s="1"/>
  <c r="S17" i="2"/>
  <c r="Z17" i="2" s="1"/>
  <c r="P17" i="2"/>
  <c r="W17" i="2" s="1"/>
  <c r="X57" i="1"/>
  <c r="X60" i="1" s="1"/>
  <c r="AB83" i="1"/>
  <c r="O16" i="1"/>
  <c r="S71" i="1" l="1"/>
  <c r="S65" i="1"/>
  <c r="S66" i="1" s="1"/>
  <c r="S55" i="1"/>
  <c r="S57" i="1" s="1"/>
  <c r="S60" i="1" s="1"/>
  <c r="S77" i="1"/>
  <c r="S83" i="1" s="1"/>
  <c r="T16" i="1" s="1"/>
  <c r="T52" i="1" s="1"/>
  <c r="AE17" i="2"/>
  <c r="F17" i="2" s="1"/>
  <c r="K18" i="2" s="1"/>
  <c r="AC17" i="2"/>
  <c r="E17" i="2" s="1"/>
  <c r="O52" i="1"/>
  <c r="O65" i="1"/>
  <c r="O66" i="1" s="1"/>
  <c r="O71" i="1"/>
  <c r="H18" i="2" l="1"/>
  <c r="T65" i="1"/>
  <c r="T66" i="1" s="1"/>
  <c r="T71" i="1"/>
  <c r="I18" i="2"/>
  <c r="J18" i="2"/>
  <c r="L18" i="2"/>
  <c r="T77" i="1"/>
  <c r="T78" i="1"/>
  <c r="T55" i="1"/>
  <c r="T57" i="1" s="1"/>
  <c r="T60" i="1" s="1"/>
  <c r="O55" i="1"/>
  <c r="O57" i="1" s="1"/>
  <c r="O60" i="1" s="1"/>
  <c r="O77" i="1"/>
  <c r="O78" i="1"/>
  <c r="O18" i="2" l="1"/>
  <c r="V18" i="2" s="1"/>
  <c r="R18" i="2"/>
  <c r="Y18" i="2" s="1"/>
  <c r="S18" i="2"/>
  <c r="Z18" i="2" s="1"/>
  <c r="P18" i="2"/>
  <c r="W18" i="2" s="1"/>
  <c r="T18" i="2"/>
  <c r="AA18" i="2" s="1"/>
  <c r="Q18" i="2"/>
  <c r="X18" i="2" s="1"/>
  <c r="O83" i="1"/>
  <c r="N16" i="1" s="1"/>
  <c r="N71" i="1" s="1"/>
  <c r="T83" i="1"/>
  <c r="U16" i="1" s="1"/>
  <c r="U65" i="1" s="1"/>
  <c r="U68" i="1" l="1"/>
  <c r="U72" i="1" s="1"/>
  <c r="U73" i="1" s="1"/>
  <c r="U66" i="1"/>
  <c r="AE18" i="2"/>
  <c r="F18" i="2" s="1"/>
  <c r="K19" i="2" s="1"/>
  <c r="AC18" i="2"/>
  <c r="E18" i="2" s="1"/>
  <c r="N65" i="1"/>
  <c r="N66" i="1" s="1"/>
  <c r="N52" i="1"/>
  <c r="N55" i="1" s="1"/>
  <c r="N57" i="1" s="1"/>
  <c r="N60" i="1" s="1"/>
  <c r="Z13" i="1"/>
  <c r="U52" i="1"/>
  <c r="U55" i="1" s="1"/>
  <c r="U57" i="1" s="1"/>
  <c r="U60" i="1" s="1"/>
  <c r="H19" i="2" l="1"/>
  <c r="I19" i="2"/>
  <c r="L19" i="2"/>
  <c r="J19" i="2"/>
  <c r="N77" i="1"/>
  <c r="N78" i="1"/>
  <c r="S19" i="2" l="1"/>
  <c r="Z19" i="2" s="1"/>
  <c r="P19" i="2"/>
  <c r="W19" i="2" s="1"/>
  <c r="Q19" i="2"/>
  <c r="X19" i="2" s="1"/>
  <c r="N83" i="1"/>
  <c r="M16" i="1" s="1"/>
  <c r="M65" i="1" s="1"/>
  <c r="M66" i="1" s="1"/>
  <c r="R19" i="2"/>
  <c r="Y19" i="2" s="1"/>
  <c r="T19" i="2"/>
  <c r="AA19" i="2" s="1"/>
  <c r="O19" i="2"/>
  <c r="V19" i="2" s="1"/>
  <c r="M71" i="1" l="1"/>
  <c r="M52" i="1"/>
  <c r="M55" i="1" s="1"/>
  <c r="M57" i="1" s="1"/>
  <c r="M60" i="1" s="1"/>
  <c r="AE19" i="2"/>
  <c r="F19" i="2" s="1"/>
  <c r="K20" i="2" s="1"/>
  <c r="AC19" i="2"/>
  <c r="E19" i="2" s="1"/>
  <c r="J20" i="2" s="1"/>
  <c r="M78" i="1" l="1"/>
  <c r="M77" i="1"/>
  <c r="H20" i="2"/>
  <c r="L20" i="2"/>
  <c r="I20" i="2"/>
  <c r="M83" i="1" l="1"/>
  <c r="G16" i="1" s="1"/>
  <c r="S20" i="2"/>
  <c r="Z20" i="2" s="1"/>
  <c r="T20" i="2"/>
  <c r="AA20" i="2" s="1"/>
  <c r="P20" i="2"/>
  <c r="W20" i="2" s="1"/>
  <c r="Q20" i="2"/>
  <c r="X20" i="2" s="1"/>
  <c r="R20" i="2"/>
  <c r="Y20" i="2" s="1"/>
  <c r="O20" i="2"/>
  <c r="V20" i="2" s="1"/>
  <c r="G65" i="1" l="1"/>
  <c r="G66" i="1" s="1"/>
  <c r="G68" i="1"/>
  <c r="AC16" i="1"/>
  <c r="AO18" i="1" s="1"/>
  <c r="AO19" i="1" s="1"/>
  <c r="I16" i="1"/>
  <c r="G71" i="1"/>
  <c r="G52" i="1"/>
  <c r="G55" i="1" s="1"/>
  <c r="G57" i="1" s="1"/>
  <c r="G60" i="1" s="1"/>
  <c r="AE20" i="2"/>
  <c r="F20" i="2" s="1"/>
  <c r="K21" i="2" s="1"/>
  <c r="AC20" i="2"/>
  <c r="E20" i="2" s="1"/>
  <c r="I65" i="1" l="1"/>
  <c r="I66" i="1" s="1"/>
  <c r="I68" i="1"/>
  <c r="AC65" i="1"/>
  <c r="AC66" i="1" s="1"/>
  <c r="G72" i="1"/>
  <c r="G73" i="1" s="1"/>
  <c r="AG18" i="1"/>
  <c r="AG19" i="1" s="1"/>
  <c r="AG22" i="1" s="1"/>
  <c r="AG24" i="1" s="1"/>
  <c r="AG26" i="1" s="1"/>
  <c r="AG27" i="1" s="1"/>
  <c r="I71" i="1"/>
  <c r="I52" i="1"/>
  <c r="I77" i="1" s="1"/>
  <c r="G78" i="1"/>
  <c r="G77" i="1"/>
  <c r="I21" i="2"/>
  <c r="J21" i="2"/>
  <c r="H21" i="2"/>
  <c r="L21" i="2"/>
  <c r="I72" i="1" l="1"/>
  <c r="I73" i="1" s="1"/>
  <c r="G83" i="1"/>
  <c r="F16" i="1" s="1"/>
  <c r="F52" i="1" s="1"/>
  <c r="AG30" i="1"/>
  <c r="W6" i="4" s="1"/>
  <c r="X6" i="4" s="1"/>
  <c r="AG28" i="1"/>
  <c r="I55" i="1"/>
  <c r="I57" i="1" s="1"/>
  <c r="I60" i="1" s="1"/>
  <c r="I78" i="1"/>
  <c r="I83" i="1" s="1"/>
  <c r="H16" i="1" s="1"/>
  <c r="S21" i="2"/>
  <c r="Z21" i="2" s="1"/>
  <c r="O21" i="2"/>
  <c r="V21" i="2" s="1"/>
  <c r="AG31" i="1"/>
  <c r="BF18" i="1" s="1"/>
  <c r="BF29" i="1" s="1"/>
  <c r="BF30" i="1" s="1"/>
  <c r="BF32" i="1" s="1"/>
  <c r="BF20" i="1"/>
  <c r="P21" i="2"/>
  <c r="W21" i="2" s="1"/>
  <c r="Q21" i="2"/>
  <c r="X21" i="2" s="1"/>
  <c r="R21" i="2"/>
  <c r="Y21" i="2" s="1"/>
  <c r="T21" i="2"/>
  <c r="AA21" i="2" s="1"/>
  <c r="F71" i="1" l="1"/>
  <c r="AK18" i="1"/>
  <c r="AK19" i="1" s="1"/>
  <c r="AK22" i="1" s="1"/>
  <c r="AK24" i="1" s="1"/>
  <c r="AK26" i="1" s="1"/>
  <c r="AK28" i="1" s="1"/>
  <c r="F66" i="1"/>
  <c r="AE21" i="2"/>
  <c r="F21" i="2" s="1"/>
  <c r="K22" i="2" s="1"/>
  <c r="BF26" i="1"/>
  <c r="BF28" i="1" s="1"/>
  <c r="W15" i="4" s="1"/>
  <c r="X15" i="4" s="1"/>
  <c r="BF23" i="1"/>
  <c r="BF22" i="1"/>
  <c r="H52" i="1"/>
  <c r="H78" i="1" s="1"/>
  <c r="H65" i="1"/>
  <c r="H66" i="1" s="1"/>
  <c r="AC21" i="2"/>
  <c r="E21" i="2" s="1"/>
  <c r="H71" i="1"/>
  <c r="F77" i="1"/>
  <c r="F55" i="1"/>
  <c r="F57" i="1" s="1"/>
  <c r="F60" i="1" s="1"/>
  <c r="F78" i="1"/>
  <c r="AK27" i="1" l="1"/>
  <c r="AK31" i="1" s="1"/>
  <c r="BG18" i="1" s="1"/>
  <c r="BG29" i="1" s="1"/>
  <c r="BG30" i="1" s="1"/>
  <c r="BG32" i="1" s="1"/>
  <c r="AK30" i="1"/>
  <c r="W7" i="4" s="1"/>
  <c r="X7" i="4" s="1"/>
  <c r="H22" i="2"/>
  <c r="BF24" i="1"/>
  <c r="H55" i="1"/>
  <c r="H57" i="1" s="1"/>
  <c r="H60" i="1" s="1"/>
  <c r="I22" i="2"/>
  <c r="L22" i="2"/>
  <c r="J22" i="2"/>
  <c r="H77" i="1"/>
  <c r="H83" i="1" s="1"/>
  <c r="F83" i="1"/>
  <c r="BG20" i="1" l="1"/>
  <c r="BG23" i="1" s="1"/>
  <c r="T22" i="2"/>
  <c r="AA22" i="2" s="1"/>
  <c r="Q22" i="2"/>
  <c r="X22" i="2" s="1"/>
  <c r="O22" i="2"/>
  <c r="V22" i="2" s="1"/>
  <c r="R22" i="2"/>
  <c r="Y22" i="2" s="1"/>
  <c r="S22" i="2"/>
  <c r="Z22" i="2" s="1"/>
  <c r="P22" i="2"/>
  <c r="W22" i="2" s="1"/>
  <c r="BG26" i="1"/>
  <c r="BG28" i="1" s="1"/>
  <c r="W16" i="4" s="1"/>
  <c r="X16" i="4" s="1"/>
  <c r="BG22" i="1" l="1"/>
  <c r="BG24" i="1" s="1"/>
  <c r="AC22" i="2"/>
  <c r="E22" i="2" s="1"/>
  <c r="J23" i="2" s="1"/>
  <c r="AE22" i="2"/>
  <c r="F22" i="2" s="1"/>
  <c r="K23" i="2" s="1"/>
  <c r="L23" i="2" l="1"/>
  <c r="I23" i="2"/>
  <c r="H23" i="2"/>
  <c r="Q23" i="2" l="1"/>
  <c r="X23" i="2" s="1"/>
  <c r="T23" i="2"/>
  <c r="AA23" i="2" s="1"/>
  <c r="O23" i="2"/>
  <c r="V23" i="2" s="1"/>
  <c r="P23" i="2"/>
  <c r="W23" i="2" s="1"/>
  <c r="R23" i="2"/>
  <c r="Y23" i="2" s="1"/>
  <c r="S23" i="2"/>
  <c r="Z23" i="2" s="1"/>
  <c r="AC23" i="2" l="1"/>
  <c r="E23" i="2" s="1"/>
  <c r="J24" i="2" s="1"/>
  <c r="AE23" i="2"/>
  <c r="F23" i="2" s="1"/>
  <c r="K24" i="2" s="1"/>
  <c r="I24" i="2" l="1"/>
  <c r="L24" i="2"/>
  <c r="H24" i="2"/>
  <c r="Q24" i="2" l="1"/>
  <c r="X24" i="2" s="1"/>
  <c r="R24" i="2"/>
  <c r="Y24" i="2" s="1"/>
  <c r="O24" i="2"/>
  <c r="V24" i="2" s="1"/>
  <c r="T24" i="2"/>
  <c r="AA24" i="2" s="1"/>
  <c r="S24" i="2"/>
  <c r="Z24" i="2" s="1"/>
  <c r="P24" i="2"/>
  <c r="W24" i="2" s="1"/>
  <c r="AC24" i="2" l="1"/>
  <c r="E24" i="2" s="1"/>
  <c r="J25" i="2" s="1"/>
  <c r="AE24" i="2"/>
  <c r="F24" i="2" s="1"/>
  <c r="K25" i="2" s="1"/>
  <c r="I25" i="2" l="1"/>
  <c r="L25" i="2"/>
  <c r="H25" i="2"/>
  <c r="S25" i="2" l="1"/>
  <c r="Z25" i="2" s="1"/>
  <c r="O25" i="2"/>
  <c r="V25" i="2" s="1"/>
  <c r="T25" i="2"/>
  <c r="AA25" i="2" s="1"/>
  <c r="Q25" i="2"/>
  <c r="X25" i="2" s="1"/>
  <c r="P25" i="2"/>
  <c r="W25" i="2" s="1"/>
  <c r="R25" i="2"/>
  <c r="Y25" i="2" s="1"/>
  <c r="AC25" i="2" l="1"/>
  <c r="E25" i="2" s="1"/>
  <c r="J26" i="2" s="1"/>
  <c r="AE25" i="2"/>
  <c r="F25" i="2" s="1"/>
  <c r="K26" i="2" s="1"/>
  <c r="H26" i="2" l="1"/>
  <c r="L26" i="2"/>
  <c r="I26" i="2"/>
  <c r="P26" i="2" l="1"/>
  <c r="W26" i="2" s="1"/>
  <c r="T26" i="2"/>
  <c r="AA26" i="2" s="1"/>
  <c r="O26" i="2"/>
  <c r="V26" i="2" s="1"/>
  <c r="Q26" i="2"/>
  <c r="X26" i="2" s="1"/>
  <c r="S26" i="2"/>
  <c r="Z26" i="2" s="1"/>
  <c r="R26" i="2"/>
  <c r="Y26" i="2" s="1"/>
  <c r="AC26" i="2" l="1"/>
  <c r="E26" i="2" s="1"/>
  <c r="J27" i="2" s="1"/>
  <c r="AE26" i="2"/>
  <c r="F26" i="2" s="1"/>
  <c r="K27" i="2" s="1"/>
  <c r="I27" i="2" l="1"/>
  <c r="L27" i="2"/>
  <c r="H27" i="2"/>
  <c r="O27" i="2" l="1"/>
  <c r="V27" i="2" s="1"/>
  <c r="T27" i="2"/>
  <c r="AA27" i="2" s="1"/>
  <c r="R27" i="2"/>
  <c r="Y27" i="2" s="1"/>
  <c r="S27" i="2"/>
  <c r="Z27" i="2" s="1"/>
  <c r="P27" i="2"/>
  <c r="W27" i="2" s="1"/>
  <c r="Q27" i="2"/>
  <c r="X27" i="2" s="1"/>
  <c r="AE27" i="2" l="1"/>
  <c r="F27" i="2" s="1"/>
  <c r="K28" i="2" s="1"/>
  <c r="AC27" i="2"/>
  <c r="E27" i="2" s="1"/>
  <c r="H28" i="2" l="1"/>
  <c r="J28" i="2"/>
  <c r="I28" i="2"/>
  <c r="L28" i="2"/>
  <c r="Q28" i="2" l="1"/>
  <c r="X28" i="2" s="1"/>
  <c r="S28" i="2"/>
  <c r="Z28" i="2" s="1"/>
  <c r="O28" i="2"/>
  <c r="V28" i="2" s="1"/>
  <c r="P28" i="2"/>
  <c r="W28" i="2" s="1"/>
  <c r="T28" i="2"/>
  <c r="AA28" i="2" s="1"/>
  <c r="R28" i="2"/>
  <c r="Y28" i="2" s="1"/>
  <c r="AE28" i="2" l="1"/>
  <c r="F28" i="2" s="1"/>
  <c r="K29" i="2" s="1"/>
  <c r="AC28" i="2"/>
  <c r="E28" i="2" s="1"/>
  <c r="L29" i="2" l="1"/>
  <c r="I29" i="2"/>
  <c r="J29" i="2"/>
  <c r="H29" i="2"/>
  <c r="T29" i="2" l="1"/>
  <c r="AA29" i="2" s="1"/>
  <c r="O29" i="2"/>
  <c r="V29" i="2" s="1"/>
  <c r="Q29" i="2"/>
  <c r="X29" i="2" s="1"/>
  <c r="R29" i="2"/>
  <c r="Y29" i="2" s="1"/>
  <c r="P29" i="2"/>
  <c r="W29" i="2" s="1"/>
  <c r="S29" i="2"/>
  <c r="Z29" i="2" s="1"/>
  <c r="AC29" i="2" l="1"/>
  <c r="E29" i="2" s="1"/>
  <c r="J30" i="2" s="1"/>
  <c r="AE29" i="2"/>
  <c r="F29" i="2" s="1"/>
  <c r="K30" i="2" s="1"/>
  <c r="L30" i="2" l="1"/>
  <c r="I30" i="2"/>
  <c r="H30" i="2"/>
  <c r="T30" i="2" l="1"/>
  <c r="AA30" i="2" s="1"/>
  <c r="O30" i="2"/>
  <c r="V30" i="2" s="1"/>
  <c r="R30" i="2"/>
  <c r="Y30" i="2" s="1"/>
  <c r="P30" i="2"/>
  <c r="W30" i="2" s="1"/>
  <c r="S30" i="2"/>
  <c r="Z30" i="2" s="1"/>
  <c r="Q30" i="2"/>
  <c r="X30" i="2" s="1"/>
  <c r="AE30" i="2" l="1"/>
  <c r="F30" i="2" s="1"/>
  <c r="K31" i="2" s="1"/>
  <c r="AC30" i="2"/>
  <c r="E30" i="2" s="1"/>
  <c r="H31" i="2" l="1"/>
  <c r="J31" i="2"/>
  <c r="I31" i="2"/>
  <c r="L31" i="2"/>
  <c r="S31" i="2" l="1"/>
  <c r="Z31" i="2" s="1"/>
  <c r="O31" i="2"/>
  <c r="V31" i="2" s="1"/>
  <c r="Q31" i="2"/>
  <c r="X31" i="2" s="1"/>
  <c r="P31" i="2"/>
  <c r="W31" i="2" s="1"/>
  <c r="R31" i="2"/>
  <c r="Y31" i="2" s="1"/>
  <c r="T31" i="2"/>
  <c r="AA31" i="2" s="1"/>
  <c r="AC31" i="2" l="1"/>
  <c r="E31" i="2" s="1"/>
  <c r="J32" i="2" s="1"/>
  <c r="AE31" i="2"/>
  <c r="F31" i="2" s="1"/>
  <c r="K32" i="2" s="1"/>
  <c r="I32" i="2" l="1"/>
  <c r="H32" i="2"/>
  <c r="L32" i="2"/>
  <c r="O32" i="2" l="1"/>
  <c r="V32" i="2" s="1"/>
  <c r="P32" i="2"/>
  <c r="W32" i="2" s="1"/>
  <c r="T32" i="2"/>
  <c r="AA32" i="2" s="1"/>
  <c r="R32" i="2"/>
  <c r="Y32" i="2" s="1"/>
  <c r="Q32" i="2"/>
  <c r="X32" i="2" s="1"/>
  <c r="S32" i="2"/>
  <c r="Z32" i="2" s="1"/>
  <c r="AC32" i="2" l="1"/>
  <c r="E32" i="2" s="1"/>
  <c r="J33" i="2" s="1"/>
  <c r="AE32" i="2"/>
  <c r="F32" i="2" s="1"/>
  <c r="K33" i="2" s="1"/>
  <c r="H33" i="2" l="1"/>
  <c r="I33" i="2"/>
  <c r="L33" i="2"/>
  <c r="P33" i="2" l="1"/>
  <c r="W33" i="2" s="1"/>
  <c r="S33" i="2"/>
  <c r="Z33" i="2" s="1"/>
  <c r="T33" i="2"/>
  <c r="AA33" i="2" s="1"/>
  <c r="O33" i="2"/>
  <c r="V33" i="2" s="1"/>
  <c r="R33" i="2"/>
  <c r="Y33" i="2" s="1"/>
  <c r="Q33" i="2"/>
  <c r="X33" i="2" s="1"/>
  <c r="AE33" i="2" l="1"/>
  <c r="F33" i="2" s="1"/>
  <c r="K34" i="2" s="1"/>
  <c r="AC33" i="2"/>
  <c r="E33" i="2" s="1"/>
  <c r="L34" i="2" l="1"/>
  <c r="I34" i="2"/>
  <c r="J34" i="2"/>
  <c r="H34" i="2"/>
  <c r="S34" i="2" l="1"/>
  <c r="Z34" i="2" s="1"/>
  <c r="Q34" i="2"/>
  <c r="X34" i="2" s="1"/>
  <c r="O34" i="2"/>
  <c r="V34" i="2" s="1"/>
  <c r="T34" i="2"/>
  <c r="AA34" i="2" s="1"/>
  <c r="P34" i="2"/>
  <c r="W34" i="2" s="1"/>
  <c r="R34" i="2"/>
  <c r="Y34" i="2" s="1"/>
  <c r="AC34" i="2" l="1"/>
  <c r="E34" i="2" s="1"/>
  <c r="J35" i="2" s="1"/>
  <c r="AE34" i="2"/>
  <c r="F34" i="2" s="1"/>
  <c r="K35" i="2" s="1"/>
  <c r="I35" i="2" l="1"/>
  <c r="H35" i="2"/>
  <c r="L35" i="2"/>
  <c r="Q35" i="2" l="1"/>
  <c r="X35" i="2" s="1"/>
  <c r="O35" i="2"/>
  <c r="V35" i="2" s="1"/>
  <c r="S35" i="2"/>
  <c r="Z35" i="2" s="1"/>
  <c r="T35" i="2"/>
  <c r="AA35" i="2" s="1"/>
  <c r="R35" i="2"/>
  <c r="Y35" i="2" s="1"/>
  <c r="P35" i="2"/>
  <c r="W35" i="2" s="1"/>
  <c r="AC35" i="2" l="1"/>
  <c r="E35" i="2" s="1"/>
  <c r="J36" i="2" s="1"/>
  <c r="AE35" i="2"/>
  <c r="F35" i="2" s="1"/>
  <c r="K36" i="2" s="1"/>
  <c r="H36" i="2" l="1"/>
  <c r="L36" i="2"/>
  <c r="I36" i="2"/>
  <c r="S36" i="2" l="1"/>
  <c r="Z36" i="2" s="1"/>
  <c r="R36" i="2"/>
  <c r="Y36" i="2" s="1"/>
  <c r="P36" i="2"/>
  <c r="W36" i="2" s="1"/>
  <c r="Q36" i="2"/>
  <c r="X36" i="2" s="1"/>
  <c r="O36" i="2"/>
  <c r="V36" i="2" s="1"/>
  <c r="T36" i="2"/>
  <c r="AA36" i="2" s="1"/>
  <c r="AC36" i="2" l="1"/>
  <c r="E36" i="2" s="1"/>
  <c r="J37" i="2" s="1"/>
  <c r="AE36" i="2"/>
  <c r="F36" i="2" s="1"/>
  <c r="K37" i="2" s="1"/>
  <c r="L37" i="2" l="1"/>
  <c r="H37" i="2"/>
  <c r="I37" i="2"/>
  <c r="O37" i="2" l="1"/>
  <c r="V37" i="2" s="1"/>
  <c r="Q37" i="2"/>
  <c r="X37" i="2" s="1"/>
  <c r="T37" i="2"/>
  <c r="AA37" i="2" s="1"/>
  <c r="S37" i="2"/>
  <c r="Z37" i="2" s="1"/>
  <c r="P37" i="2"/>
  <c r="W37" i="2" s="1"/>
  <c r="R37" i="2"/>
  <c r="Y37" i="2" s="1"/>
  <c r="AC37" i="2" l="1"/>
  <c r="E37" i="2" s="1"/>
  <c r="J38" i="2" s="1"/>
  <c r="AE37" i="2"/>
  <c r="F37" i="2" s="1"/>
  <c r="K38" i="2" s="1"/>
  <c r="H38" i="2" l="1"/>
  <c r="L38" i="2"/>
  <c r="I38" i="2"/>
  <c r="T38" i="2" l="1"/>
  <c r="AA38" i="2" s="1"/>
  <c r="S38" i="2"/>
  <c r="Z38" i="2" s="1"/>
  <c r="P38" i="2"/>
  <c r="W38" i="2" s="1"/>
  <c r="O38" i="2"/>
  <c r="V38" i="2" s="1"/>
  <c r="R38" i="2"/>
  <c r="Y38" i="2" s="1"/>
  <c r="Q38" i="2"/>
  <c r="X38" i="2" s="1"/>
  <c r="AC38" i="2" l="1"/>
  <c r="E38" i="2" s="1"/>
  <c r="J39" i="2" s="1"/>
  <c r="AE38" i="2"/>
  <c r="F38" i="2" s="1"/>
  <c r="K39" i="2" s="1"/>
  <c r="L39" i="2" l="1"/>
  <c r="H39" i="2"/>
  <c r="I39" i="2"/>
  <c r="O39" i="2" l="1"/>
  <c r="V39" i="2" s="1"/>
  <c r="P39" i="2"/>
  <c r="W39" i="2" s="1"/>
  <c r="Q39" i="2"/>
  <c r="X39" i="2" s="1"/>
  <c r="S39" i="2"/>
  <c r="Z39" i="2" s="1"/>
  <c r="T39" i="2"/>
  <c r="AA39" i="2" s="1"/>
  <c r="R39" i="2"/>
  <c r="Y39" i="2" s="1"/>
  <c r="AE39" i="2" l="1"/>
  <c r="F39" i="2" s="1"/>
  <c r="K40" i="2" s="1"/>
  <c r="AC39" i="2"/>
  <c r="E39" i="2" s="1"/>
  <c r="L40" i="2" l="1"/>
  <c r="I40" i="2"/>
  <c r="H40" i="2"/>
  <c r="J40" i="2"/>
  <c r="Q40" i="2" l="1"/>
  <c r="X40" i="2" s="1"/>
  <c r="P40" i="2"/>
  <c r="W40" i="2" s="1"/>
  <c r="O40" i="2"/>
  <c r="V40" i="2" s="1"/>
  <c r="T40" i="2"/>
  <c r="AA40" i="2" s="1"/>
  <c r="R40" i="2"/>
  <c r="Y40" i="2" s="1"/>
  <c r="S40" i="2"/>
  <c r="Z40" i="2" s="1"/>
  <c r="AE40" i="2" l="1"/>
  <c r="F40" i="2" s="1"/>
  <c r="K41" i="2" s="1"/>
  <c r="AC40" i="2"/>
  <c r="E40" i="2" s="1"/>
  <c r="L41" i="2" l="1"/>
  <c r="H41" i="2"/>
  <c r="J41" i="2"/>
  <c r="I41" i="2"/>
  <c r="T41" i="2" l="1"/>
  <c r="AA41" i="2" s="1"/>
  <c r="Q41" i="2"/>
  <c r="X41" i="2" s="1"/>
  <c r="O41" i="2"/>
  <c r="V41" i="2" s="1"/>
  <c r="S41" i="2"/>
  <c r="Z41" i="2" s="1"/>
  <c r="P41" i="2"/>
  <c r="W41" i="2" s="1"/>
  <c r="R41" i="2"/>
  <c r="Y41" i="2" s="1"/>
  <c r="AC41" i="2" l="1"/>
  <c r="E41" i="2" s="1"/>
  <c r="J42" i="2" s="1"/>
  <c r="AE41" i="2"/>
  <c r="F41" i="2" s="1"/>
  <c r="K42" i="2" s="1"/>
  <c r="H42" i="2" l="1"/>
  <c r="L42" i="2"/>
  <c r="I42" i="2"/>
  <c r="T42" i="2" l="1"/>
  <c r="AA42" i="2" s="1"/>
  <c r="P42" i="2"/>
  <c r="W42" i="2" s="1"/>
  <c r="Q42" i="2"/>
  <c r="X42" i="2" s="1"/>
  <c r="O42" i="2"/>
  <c r="V42" i="2" s="1"/>
  <c r="R42" i="2"/>
  <c r="Y42" i="2" s="1"/>
  <c r="S42" i="2"/>
  <c r="Z42" i="2" s="1"/>
  <c r="AE42" i="2" l="1"/>
  <c r="F42" i="2" s="1"/>
  <c r="K43" i="2" s="1"/>
  <c r="AC42" i="2"/>
  <c r="E42" i="2" s="1"/>
  <c r="I43" i="2" l="1"/>
  <c r="J43" i="2"/>
  <c r="H43" i="2"/>
  <c r="L43" i="2"/>
  <c r="O43" i="2" l="1"/>
  <c r="V43" i="2" s="1"/>
  <c r="P43" i="2"/>
  <c r="W43" i="2" s="1"/>
  <c r="Q43" i="2"/>
  <c r="X43" i="2" s="1"/>
  <c r="T43" i="2"/>
  <c r="AA43" i="2" s="1"/>
  <c r="R43" i="2"/>
  <c r="Y43" i="2" s="1"/>
  <c r="S43" i="2"/>
  <c r="Z43" i="2" s="1"/>
  <c r="AC43" i="2" l="1"/>
  <c r="E43" i="2" s="1"/>
  <c r="J44" i="2" s="1"/>
  <c r="AE43" i="2"/>
  <c r="F43" i="2" s="1"/>
  <c r="K44" i="2" s="1"/>
  <c r="H44" i="2" l="1"/>
  <c r="L44" i="2"/>
  <c r="I44" i="2"/>
  <c r="R44" i="2" l="1"/>
  <c r="Y44" i="2" s="1"/>
  <c r="P44" i="2"/>
  <c r="W44" i="2" s="1"/>
  <c r="S44" i="2"/>
  <c r="Z44" i="2" s="1"/>
  <c r="Q44" i="2"/>
  <c r="X44" i="2" s="1"/>
  <c r="O44" i="2"/>
  <c r="V44" i="2" s="1"/>
  <c r="T44" i="2"/>
  <c r="AA44" i="2" s="1"/>
  <c r="AE44" i="2" l="1"/>
  <c r="F44" i="2" s="1"/>
  <c r="K45" i="2" s="1"/>
  <c r="AC44" i="2"/>
  <c r="E44" i="2" s="1"/>
  <c r="I45" i="2" l="1"/>
  <c r="L45" i="2"/>
  <c r="H45" i="2"/>
  <c r="J45" i="2"/>
  <c r="O45" i="2" l="1"/>
  <c r="V45" i="2" s="1"/>
  <c r="Q45" i="2"/>
  <c r="X45" i="2" s="1"/>
  <c r="T45" i="2"/>
  <c r="AA45" i="2" s="1"/>
  <c r="S45" i="2"/>
  <c r="Z45" i="2" s="1"/>
  <c r="P45" i="2"/>
  <c r="W45" i="2" s="1"/>
  <c r="R45" i="2"/>
  <c r="Y45" i="2" s="1"/>
  <c r="AE45" i="2" l="1"/>
  <c r="F45" i="2" s="1"/>
  <c r="K46" i="2" s="1"/>
  <c r="AC45" i="2"/>
  <c r="E45" i="2" s="1"/>
  <c r="I46" i="2" l="1"/>
  <c r="H46" i="2"/>
  <c r="L46" i="2"/>
  <c r="J46" i="2"/>
  <c r="P46" i="2" l="1"/>
  <c r="W46" i="2" s="1"/>
  <c r="Q46" i="2"/>
  <c r="X46" i="2" s="1"/>
  <c r="S46" i="2"/>
  <c r="Z46" i="2" s="1"/>
  <c r="T46" i="2"/>
  <c r="AA46" i="2" s="1"/>
  <c r="R46" i="2"/>
  <c r="Y46" i="2" s="1"/>
  <c r="O46" i="2"/>
  <c r="V46" i="2" s="1"/>
  <c r="AC46" i="2" l="1"/>
  <c r="E46" i="2" s="1"/>
  <c r="J47" i="2" s="1"/>
  <c r="AE46" i="2"/>
  <c r="F46" i="2" s="1"/>
  <c r="K47" i="2" s="1"/>
  <c r="L47" i="2" l="1"/>
  <c r="H47" i="2"/>
  <c r="I47" i="2"/>
  <c r="T47" i="2" l="1"/>
  <c r="AA47" i="2" s="1"/>
  <c r="P47" i="2"/>
  <c r="W47" i="2" s="1"/>
  <c r="Q47" i="2"/>
  <c r="X47" i="2" s="1"/>
  <c r="S47" i="2"/>
  <c r="Z47" i="2" s="1"/>
  <c r="R47" i="2"/>
  <c r="Y47" i="2" s="1"/>
  <c r="O47" i="2"/>
  <c r="V47" i="2" s="1"/>
  <c r="AC47" i="2" l="1"/>
  <c r="E47" i="2" s="1"/>
  <c r="J48" i="2" s="1"/>
  <c r="AE47" i="2"/>
  <c r="F47" i="2" s="1"/>
  <c r="K48" i="2" s="1"/>
  <c r="L48" i="2" l="1"/>
  <c r="H48" i="2"/>
  <c r="I48" i="2"/>
  <c r="O48" i="2" l="1"/>
  <c r="V48" i="2" s="1"/>
  <c r="P48" i="2"/>
  <c r="W48" i="2" s="1"/>
  <c r="Q48" i="2"/>
  <c r="X48" i="2" s="1"/>
  <c r="T48" i="2"/>
  <c r="AA48" i="2" s="1"/>
  <c r="S48" i="2"/>
  <c r="Z48" i="2" s="1"/>
  <c r="R48" i="2"/>
  <c r="Y48" i="2" s="1"/>
  <c r="AC48" i="2" l="1"/>
  <c r="E48" i="2" s="1"/>
  <c r="J49" i="2" s="1"/>
  <c r="AE48" i="2"/>
  <c r="F48" i="2" s="1"/>
  <c r="K49" i="2" s="1"/>
  <c r="H49" i="2" l="1"/>
  <c r="L49" i="2"/>
  <c r="I49" i="2"/>
  <c r="R49" i="2" l="1"/>
  <c r="Y49" i="2" s="1"/>
  <c r="P49" i="2"/>
  <c r="W49" i="2" s="1"/>
  <c r="S49" i="2"/>
  <c r="Z49" i="2" s="1"/>
  <c r="O49" i="2"/>
  <c r="V49" i="2" s="1"/>
  <c r="T49" i="2"/>
  <c r="AA49" i="2" s="1"/>
  <c r="Q49" i="2"/>
  <c r="X49" i="2" s="1"/>
  <c r="AE49" i="2" l="1"/>
  <c r="F49" i="2" s="1"/>
  <c r="K50" i="2" s="1"/>
  <c r="AC49" i="2"/>
  <c r="E49" i="2" s="1"/>
  <c r="L50" i="2" s="1"/>
  <c r="H50" i="2" l="1"/>
  <c r="J50" i="2"/>
  <c r="I50" i="2"/>
  <c r="P50" i="2" l="1"/>
  <c r="W50" i="2" s="1"/>
  <c r="Q50" i="2"/>
  <c r="X50" i="2" s="1"/>
  <c r="R50" i="2"/>
  <c r="Y50" i="2" s="1"/>
  <c r="O50" i="2"/>
  <c r="V50" i="2" s="1"/>
  <c r="T50" i="2"/>
  <c r="AA50" i="2" s="1"/>
  <c r="S50" i="2"/>
  <c r="Z50" i="2" s="1"/>
  <c r="AE50" i="2" l="1"/>
  <c r="F50" i="2" s="1"/>
  <c r="K51" i="2" s="1"/>
  <c r="AC50" i="2"/>
  <c r="E50" i="2" s="1"/>
  <c r="L51" i="2" l="1"/>
  <c r="I51" i="2"/>
  <c r="J51" i="2"/>
  <c r="H51" i="2"/>
  <c r="P51" i="2" l="1"/>
  <c r="W51" i="2" s="1"/>
  <c r="Q51" i="2"/>
  <c r="X51" i="2" s="1"/>
  <c r="R51" i="2"/>
  <c r="Y51" i="2" s="1"/>
  <c r="T51" i="2"/>
  <c r="AA51" i="2" s="1"/>
  <c r="S51" i="2"/>
  <c r="Z51" i="2" s="1"/>
  <c r="O51" i="2"/>
  <c r="V51" i="2" s="1"/>
  <c r="AC51" i="2" l="1"/>
  <c r="E51" i="2" s="1"/>
  <c r="J52" i="2" s="1"/>
  <c r="AE51" i="2"/>
  <c r="F51" i="2" s="1"/>
  <c r="K52" i="2" s="1"/>
  <c r="H52" i="2" l="1"/>
  <c r="I52" i="2"/>
  <c r="L52" i="2"/>
  <c r="S52" i="2" l="1"/>
  <c r="Z52" i="2" s="1"/>
  <c r="O52" i="2"/>
  <c r="V52" i="2" s="1"/>
  <c r="P52" i="2"/>
  <c r="W52" i="2" s="1"/>
  <c r="Q52" i="2"/>
  <c r="X52" i="2" s="1"/>
  <c r="R52" i="2"/>
  <c r="Y52" i="2" s="1"/>
  <c r="T52" i="2"/>
  <c r="AA52" i="2" s="1"/>
  <c r="AC52" i="2" l="1"/>
  <c r="E52" i="2" s="1"/>
  <c r="J53" i="2" s="1"/>
  <c r="AE52" i="2"/>
  <c r="F52" i="2" s="1"/>
  <c r="K53" i="2" s="1"/>
  <c r="H53" i="2" l="1"/>
  <c r="I53" i="2"/>
  <c r="L53" i="2"/>
  <c r="Q53" i="2" l="1"/>
  <c r="X53" i="2" s="1"/>
  <c r="T53" i="2"/>
  <c r="AA53" i="2" s="1"/>
  <c r="S53" i="2"/>
  <c r="Z53" i="2" s="1"/>
  <c r="O53" i="2"/>
  <c r="V53" i="2" s="1"/>
  <c r="R53" i="2"/>
  <c r="Y53" i="2" s="1"/>
  <c r="P53" i="2"/>
  <c r="W53" i="2" s="1"/>
  <c r="AC53" i="2" l="1"/>
  <c r="E53" i="2" s="1"/>
  <c r="J54" i="2" s="1"/>
  <c r="AE53" i="2"/>
  <c r="F53" i="2" s="1"/>
  <c r="K54" i="2" s="1"/>
  <c r="H54" i="2" l="1"/>
  <c r="I54" i="2"/>
  <c r="L54" i="2"/>
  <c r="S54" i="2" l="1"/>
  <c r="Z54" i="2" s="1"/>
  <c r="P54" i="2"/>
  <c r="W54" i="2" s="1"/>
  <c r="Q54" i="2"/>
  <c r="X54" i="2" s="1"/>
  <c r="R54" i="2"/>
  <c r="Y54" i="2" s="1"/>
  <c r="O54" i="2"/>
  <c r="V54" i="2" s="1"/>
  <c r="T54" i="2"/>
  <c r="AA54" i="2" s="1"/>
  <c r="AC54" i="2" l="1"/>
  <c r="E54" i="2" s="1"/>
  <c r="J55" i="2" s="1"/>
  <c r="AE54" i="2"/>
  <c r="F54" i="2" s="1"/>
  <c r="K55" i="2" s="1"/>
  <c r="I55" i="2" l="1"/>
  <c r="H55" i="2"/>
  <c r="L55" i="2"/>
  <c r="Q55" i="2" l="1"/>
  <c r="X55" i="2" s="1"/>
  <c r="P55" i="2"/>
  <c r="W55" i="2" s="1"/>
  <c r="R55" i="2"/>
  <c r="Y55" i="2" s="1"/>
  <c r="S55" i="2"/>
  <c r="Z55" i="2" s="1"/>
  <c r="O55" i="2"/>
  <c r="V55" i="2" s="1"/>
  <c r="T55" i="2"/>
  <c r="AA55" i="2" s="1"/>
  <c r="AC55" i="2" l="1"/>
  <c r="E55" i="2" s="1"/>
  <c r="J56" i="2" s="1"/>
  <c r="AE55" i="2"/>
  <c r="F55" i="2" s="1"/>
  <c r="K56" i="2" s="1"/>
  <c r="I56" i="2" l="1"/>
  <c r="H56" i="2"/>
  <c r="L56" i="2"/>
  <c r="R56" i="2" l="1"/>
  <c r="Y56" i="2" s="1"/>
  <c r="S56" i="2"/>
  <c r="Z56" i="2" s="1"/>
  <c r="T56" i="2"/>
  <c r="AA56" i="2" s="1"/>
  <c r="O56" i="2"/>
  <c r="V56" i="2" s="1"/>
  <c r="P56" i="2"/>
  <c r="W56" i="2" s="1"/>
  <c r="Q56" i="2"/>
  <c r="X56" i="2" s="1"/>
  <c r="AE56" i="2" l="1"/>
  <c r="F56" i="2" s="1"/>
  <c r="K57" i="2" s="1"/>
  <c r="AC56" i="2"/>
  <c r="E56" i="2" s="1"/>
  <c r="L57" i="2" l="1"/>
  <c r="H57" i="2"/>
  <c r="I57" i="2"/>
  <c r="J57" i="2"/>
  <c r="O57" i="2" l="1"/>
  <c r="V57" i="2" s="1"/>
  <c r="P57" i="2"/>
  <c r="W57" i="2" s="1"/>
  <c r="T57" i="2"/>
  <c r="AA57" i="2" s="1"/>
  <c r="R57" i="2"/>
  <c r="Y57" i="2" s="1"/>
  <c r="Q57" i="2"/>
  <c r="X57" i="2" s="1"/>
  <c r="S57" i="2"/>
  <c r="Z57" i="2" s="1"/>
  <c r="AE57" i="2" l="1"/>
  <c r="F57" i="2" s="1"/>
  <c r="K58" i="2" s="1"/>
  <c r="AC57" i="2"/>
  <c r="E57" i="2" s="1"/>
  <c r="L58" i="2" l="1"/>
  <c r="I58" i="2"/>
  <c r="H58" i="2"/>
  <c r="J58" i="2"/>
  <c r="R58" i="2" l="1"/>
  <c r="Y58" i="2" s="1"/>
  <c r="Q58" i="2"/>
  <c r="X58" i="2" s="1"/>
  <c r="S58" i="2"/>
  <c r="Z58" i="2" s="1"/>
  <c r="P58" i="2"/>
  <c r="W58" i="2" s="1"/>
  <c r="O58" i="2"/>
  <c r="V58" i="2" s="1"/>
  <c r="T58" i="2"/>
  <c r="AA58" i="2" s="1"/>
  <c r="AE58" i="2" l="1"/>
  <c r="F58" i="2" s="1"/>
  <c r="K59" i="2" s="1"/>
  <c r="AC58" i="2"/>
  <c r="E58" i="2" s="1"/>
  <c r="L59" i="2" l="1"/>
  <c r="H59" i="2"/>
  <c r="I59" i="2"/>
  <c r="J59" i="2"/>
  <c r="T59" i="2" l="1"/>
  <c r="AA59" i="2" s="1"/>
  <c r="S59" i="2"/>
  <c r="Z59" i="2" s="1"/>
  <c r="Q59" i="2"/>
  <c r="X59" i="2" s="1"/>
  <c r="P59" i="2"/>
  <c r="W59" i="2" s="1"/>
  <c r="O59" i="2"/>
  <c r="V59" i="2" s="1"/>
  <c r="R59" i="2"/>
  <c r="Y59" i="2" s="1"/>
  <c r="AC59" i="2" l="1"/>
  <c r="E59" i="2" s="1"/>
  <c r="J60" i="2" s="1"/>
  <c r="AE59" i="2"/>
  <c r="F59" i="2" s="1"/>
  <c r="K60" i="2" s="1"/>
  <c r="L60" i="2" l="1"/>
  <c r="I60" i="2"/>
  <c r="H60" i="2"/>
  <c r="R60" i="2" l="1"/>
  <c r="Y60" i="2" s="1"/>
  <c r="P60" i="2"/>
  <c r="W60" i="2" s="1"/>
  <c r="Q60" i="2"/>
  <c r="X60" i="2" s="1"/>
  <c r="S60" i="2"/>
  <c r="Z60" i="2" s="1"/>
  <c r="O60" i="2"/>
  <c r="V60" i="2" s="1"/>
  <c r="T60" i="2"/>
  <c r="AA60" i="2" s="1"/>
  <c r="AC60" i="2" l="1"/>
  <c r="E60" i="2" s="1"/>
  <c r="J61" i="2" s="1"/>
  <c r="AE60" i="2"/>
  <c r="F60" i="2" s="1"/>
  <c r="K61" i="2" s="1"/>
  <c r="H61" i="2" l="1"/>
  <c r="L61" i="2"/>
  <c r="I61" i="2"/>
  <c r="T61" i="2" l="1"/>
  <c r="AA61" i="2" s="1"/>
  <c r="S61" i="2"/>
  <c r="Z61" i="2" s="1"/>
  <c r="R61" i="2"/>
  <c r="Y61" i="2" s="1"/>
  <c r="O61" i="2"/>
  <c r="V61" i="2" s="1"/>
  <c r="P61" i="2"/>
  <c r="W61" i="2" s="1"/>
  <c r="Q61" i="2"/>
  <c r="X61" i="2" s="1"/>
  <c r="AE61" i="2" l="1"/>
  <c r="F61" i="2" s="1"/>
  <c r="K62" i="2" s="1"/>
  <c r="AC61" i="2"/>
  <c r="E61" i="2" s="1"/>
  <c r="L62" i="2" l="1"/>
  <c r="J62" i="2"/>
  <c r="I62" i="2"/>
  <c r="H62" i="2"/>
  <c r="O62" i="2" l="1"/>
  <c r="V62" i="2" s="1"/>
  <c r="P62" i="2"/>
  <c r="W62" i="2" s="1"/>
  <c r="T62" i="2"/>
  <c r="AA62" i="2" s="1"/>
  <c r="S62" i="2"/>
  <c r="Z62" i="2" s="1"/>
  <c r="R62" i="2"/>
  <c r="Y62" i="2" s="1"/>
  <c r="Q62" i="2"/>
  <c r="X62" i="2" s="1"/>
  <c r="AC62" i="2" l="1"/>
  <c r="E62" i="2" s="1"/>
  <c r="J63" i="2" s="1"/>
  <c r="AE62" i="2"/>
  <c r="F62" i="2" s="1"/>
  <c r="K63" i="2" s="1"/>
  <c r="H63" i="2" l="1"/>
  <c r="I63" i="2"/>
  <c r="L63" i="2"/>
  <c r="S63" i="2" l="1"/>
  <c r="Z63" i="2" s="1"/>
  <c r="Q63" i="2"/>
  <c r="X63" i="2" s="1"/>
  <c r="O63" i="2"/>
  <c r="V63" i="2" s="1"/>
  <c r="T63" i="2"/>
  <c r="AA63" i="2" s="1"/>
  <c r="P63" i="2"/>
  <c r="W63" i="2" s="1"/>
  <c r="R63" i="2"/>
  <c r="Y63" i="2" s="1"/>
  <c r="AC63" i="2" l="1"/>
  <c r="E63" i="2" s="1"/>
  <c r="J64" i="2" s="1"/>
  <c r="AE63" i="2"/>
  <c r="F63" i="2" s="1"/>
  <c r="K64" i="2" s="1"/>
  <c r="H64" i="2" l="1"/>
  <c r="L64" i="2"/>
  <c r="I64" i="2"/>
  <c r="T64" i="2" l="1"/>
  <c r="AA64" i="2" s="1"/>
  <c r="Q64" i="2"/>
  <c r="X64" i="2" s="1"/>
  <c r="O64" i="2"/>
  <c r="V64" i="2" s="1"/>
  <c r="P64" i="2"/>
  <c r="W64" i="2" s="1"/>
  <c r="S64" i="2"/>
  <c r="Z64" i="2" s="1"/>
  <c r="R64" i="2"/>
  <c r="Y64" i="2" s="1"/>
  <c r="AC64" i="2" l="1"/>
  <c r="E64" i="2" s="1"/>
  <c r="J65" i="2" s="1"/>
  <c r="AE64" i="2"/>
  <c r="F64" i="2" s="1"/>
  <c r="K65" i="2" s="1"/>
  <c r="H65" i="2" l="1"/>
  <c r="I65" i="2"/>
  <c r="L65" i="2"/>
  <c r="S65" i="2" l="1"/>
  <c r="Z65" i="2" s="1"/>
  <c r="Q65" i="2"/>
  <c r="X65" i="2" s="1"/>
  <c r="O65" i="2"/>
  <c r="V65" i="2" s="1"/>
  <c r="P65" i="2"/>
  <c r="W65" i="2" s="1"/>
  <c r="R65" i="2"/>
  <c r="Y65" i="2" s="1"/>
  <c r="T65" i="2"/>
  <c r="AA65" i="2" s="1"/>
  <c r="AC65" i="2" l="1"/>
  <c r="E65" i="2" s="1"/>
  <c r="J66" i="2" s="1"/>
  <c r="AE65" i="2"/>
  <c r="F65" i="2" s="1"/>
  <c r="K66" i="2" s="1"/>
  <c r="I66" i="2" l="1"/>
  <c r="H66" i="2"/>
  <c r="L66" i="2"/>
  <c r="T66" i="2" l="1"/>
  <c r="AA66" i="2" s="1"/>
  <c r="S66" i="2"/>
  <c r="Z66" i="2" s="1"/>
  <c r="O66" i="2"/>
  <c r="V66" i="2" s="1"/>
  <c r="Q66" i="2"/>
  <c r="X66" i="2" s="1"/>
  <c r="R66" i="2"/>
  <c r="Y66" i="2" s="1"/>
  <c r="P66" i="2"/>
  <c r="W66" i="2" s="1"/>
  <c r="AE66" i="2" l="1"/>
  <c r="F66" i="2" s="1"/>
  <c r="K67" i="2" s="1"/>
  <c r="AC66" i="2"/>
  <c r="E66" i="2" s="1"/>
  <c r="I67" i="2" l="1"/>
  <c r="J67" i="2"/>
  <c r="H67" i="2"/>
  <c r="L67" i="2"/>
  <c r="S67" i="2" l="1"/>
  <c r="Z67" i="2" s="1"/>
  <c r="O67" i="2"/>
  <c r="V67" i="2" s="1"/>
  <c r="Q67" i="2"/>
  <c r="X67" i="2" s="1"/>
  <c r="R67" i="2"/>
  <c r="Y67" i="2" s="1"/>
  <c r="P67" i="2"/>
  <c r="W67" i="2" s="1"/>
  <c r="T67" i="2"/>
  <c r="AA67" i="2" s="1"/>
  <c r="AC67" i="2" l="1"/>
  <c r="E67" i="2" s="1"/>
  <c r="J68" i="2" s="1"/>
  <c r="AE67" i="2"/>
  <c r="F67" i="2" s="1"/>
  <c r="K68" i="2" s="1"/>
  <c r="H68" i="2" l="1"/>
  <c r="L68" i="2"/>
  <c r="I68" i="2"/>
  <c r="R68" i="2" l="1"/>
  <c r="Y68" i="2" s="1"/>
  <c r="P68" i="2"/>
  <c r="W68" i="2" s="1"/>
  <c r="S68" i="2"/>
  <c r="Z68" i="2" s="1"/>
  <c r="Q68" i="2"/>
  <c r="X68" i="2" s="1"/>
  <c r="T68" i="2"/>
  <c r="AA68" i="2" s="1"/>
  <c r="O68" i="2"/>
  <c r="V68" i="2" s="1"/>
  <c r="AE68" i="2" l="1"/>
  <c r="F68" i="2" s="1"/>
  <c r="K69" i="2" s="1"/>
  <c r="AC68" i="2"/>
  <c r="E68" i="2" s="1"/>
  <c r="I69" i="2" l="1"/>
  <c r="J69" i="2"/>
  <c r="L69" i="2"/>
  <c r="H69" i="2"/>
  <c r="P69" i="2" l="1"/>
  <c r="W69" i="2" s="1"/>
  <c r="S69" i="2"/>
  <c r="Z69" i="2" s="1"/>
  <c r="Q69" i="2"/>
  <c r="X69" i="2" s="1"/>
  <c r="T69" i="2"/>
  <c r="AA69" i="2" s="1"/>
  <c r="O69" i="2"/>
  <c r="V69" i="2" s="1"/>
  <c r="R69" i="2"/>
  <c r="Y69" i="2" s="1"/>
  <c r="AC69" i="2" l="1"/>
  <c r="E69" i="2" s="1"/>
  <c r="J70" i="2" s="1"/>
  <c r="AE69" i="2"/>
  <c r="F69" i="2" s="1"/>
  <c r="K70" i="2" s="1"/>
  <c r="I70" i="2" l="1"/>
  <c r="L70" i="2"/>
  <c r="H70" i="2"/>
  <c r="Q70" i="2" l="1"/>
  <c r="X70" i="2" s="1"/>
  <c r="O70" i="2"/>
  <c r="V70" i="2" s="1"/>
  <c r="S70" i="2"/>
  <c r="Z70" i="2" s="1"/>
  <c r="P70" i="2"/>
  <c r="W70" i="2" s="1"/>
  <c r="R70" i="2"/>
  <c r="Y70" i="2" s="1"/>
  <c r="T70" i="2"/>
  <c r="AA70" i="2" s="1"/>
  <c r="AE70" i="2" l="1"/>
  <c r="F70" i="2" s="1"/>
  <c r="K71" i="2" s="1"/>
  <c r="AC70" i="2"/>
  <c r="E70" i="2" s="1"/>
  <c r="H71" i="2" l="1"/>
  <c r="I71" i="2"/>
  <c r="J71" i="2"/>
  <c r="L71" i="2"/>
  <c r="T71" i="2" l="1"/>
  <c r="AA71" i="2" s="1"/>
  <c r="P71" i="2"/>
  <c r="W71" i="2" s="1"/>
  <c r="O71" i="2"/>
  <c r="V71" i="2" s="1"/>
  <c r="S71" i="2"/>
  <c r="Z71" i="2" s="1"/>
  <c r="Q71" i="2"/>
  <c r="X71" i="2" s="1"/>
  <c r="R71" i="2"/>
  <c r="Y71" i="2" s="1"/>
  <c r="AE71" i="2" l="1"/>
  <c r="F71" i="2" s="1"/>
  <c r="K72" i="2" s="1"/>
  <c r="AC71" i="2"/>
  <c r="E71" i="2" s="1"/>
  <c r="H72" i="2" l="1"/>
  <c r="I72" i="2"/>
  <c r="L72" i="2"/>
  <c r="J72" i="2"/>
  <c r="Q72" i="2" l="1"/>
  <c r="X72" i="2" s="1"/>
  <c r="S72" i="2"/>
  <c r="Z72" i="2" s="1"/>
  <c r="O72" i="2"/>
  <c r="V72" i="2" s="1"/>
  <c r="P72" i="2"/>
  <c r="W72" i="2" s="1"/>
  <c r="R72" i="2"/>
  <c r="Y72" i="2" s="1"/>
  <c r="T72" i="2"/>
  <c r="AA72" i="2" s="1"/>
  <c r="AC72" i="2" l="1"/>
  <c r="E72" i="2" s="1"/>
  <c r="J73" i="2" s="1"/>
  <c r="AE72" i="2"/>
  <c r="F72" i="2" s="1"/>
  <c r="K73" i="2" s="1"/>
  <c r="L73" i="2" l="1"/>
  <c r="I73" i="2"/>
  <c r="H73" i="2"/>
  <c r="S73" i="2" l="1"/>
  <c r="Z73" i="2" s="1"/>
  <c r="O73" i="2"/>
  <c r="V73" i="2" s="1"/>
  <c r="T73" i="2"/>
  <c r="AA73" i="2" s="1"/>
  <c r="P73" i="2"/>
  <c r="W73" i="2" s="1"/>
  <c r="R73" i="2"/>
  <c r="Y73" i="2" s="1"/>
  <c r="Q73" i="2"/>
  <c r="X73" i="2" s="1"/>
  <c r="AE73" i="2" l="1"/>
  <c r="F73" i="2" s="1"/>
  <c r="K74" i="2" s="1"/>
  <c r="AC73" i="2"/>
  <c r="E73" i="2" s="1"/>
  <c r="H74" i="2" l="1"/>
  <c r="J74" i="2"/>
  <c r="L74" i="2"/>
  <c r="I74" i="2"/>
  <c r="Q74" i="2" l="1"/>
  <c r="X74" i="2" s="1"/>
  <c r="T74" i="2"/>
  <c r="AA74" i="2" s="1"/>
  <c r="P74" i="2"/>
  <c r="W74" i="2" s="1"/>
  <c r="S74" i="2"/>
  <c r="Z74" i="2" s="1"/>
  <c r="O74" i="2"/>
  <c r="V74" i="2" s="1"/>
  <c r="R74" i="2"/>
  <c r="Y74" i="2" s="1"/>
  <c r="AC74" i="2" l="1"/>
  <c r="E74" i="2" s="1"/>
  <c r="J75" i="2" s="1"/>
  <c r="AE74" i="2"/>
  <c r="F74" i="2" s="1"/>
  <c r="K75" i="2" s="1"/>
  <c r="L75" i="2" l="1"/>
  <c r="I75" i="2"/>
  <c r="H75" i="2"/>
  <c r="T75" i="2" l="1"/>
  <c r="AA75" i="2" s="1"/>
  <c r="O75" i="2"/>
  <c r="V75" i="2" s="1"/>
  <c r="P75" i="2"/>
  <c r="W75" i="2" s="1"/>
  <c r="Q75" i="2"/>
  <c r="X75" i="2" s="1"/>
  <c r="S75" i="2"/>
  <c r="Z75" i="2" s="1"/>
  <c r="R75" i="2"/>
  <c r="Y75" i="2" s="1"/>
  <c r="AE75" i="2" l="1"/>
  <c r="F75" i="2" s="1"/>
  <c r="K76" i="2" s="1"/>
  <c r="AC75" i="2"/>
  <c r="E75" i="2" s="1"/>
  <c r="I76" i="2" l="1"/>
  <c r="J76" i="2"/>
  <c r="L76" i="2"/>
  <c r="H76" i="2"/>
  <c r="O76" i="2" l="1"/>
  <c r="V76" i="2" s="1"/>
  <c r="P76" i="2"/>
  <c r="W76" i="2" s="1"/>
  <c r="S76" i="2"/>
  <c r="Z76" i="2" s="1"/>
  <c r="Q76" i="2"/>
  <c r="X76" i="2" s="1"/>
  <c r="T76" i="2"/>
  <c r="AA76" i="2" s="1"/>
  <c r="R76" i="2"/>
  <c r="Y76" i="2" s="1"/>
  <c r="AE76" i="2" l="1"/>
  <c r="F76" i="2" s="1"/>
  <c r="K77" i="2" s="1"/>
  <c r="AC76" i="2"/>
  <c r="E76" i="2" s="1"/>
  <c r="I77" i="2" l="1"/>
  <c r="L77" i="2"/>
  <c r="J77" i="2"/>
  <c r="H77" i="2"/>
  <c r="S77" i="2" l="1"/>
  <c r="Z77" i="2" s="1"/>
  <c r="Q77" i="2"/>
  <c r="X77" i="2" s="1"/>
  <c r="O77" i="2"/>
  <c r="V77" i="2" s="1"/>
  <c r="T77" i="2"/>
  <c r="AA77" i="2" s="1"/>
  <c r="R77" i="2"/>
  <c r="Y77" i="2" s="1"/>
  <c r="P77" i="2"/>
  <c r="W77" i="2" s="1"/>
  <c r="AC77" i="2" l="1"/>
  <c r="E77" i="2" s="1"/>
  <c r="AE77" i="2"/>
  <c r="F77" i="2" s="1"/>
  <c r="K78" i="2" s="1"/>
  <c r="H78" i="2" l="1"/>
  <c r="L78" i="2"/>
  <c r="J78" i="2"/>
  <c r="I78" i="2"/>
  <c r="Q78" i="2" l="1"/>
  <c r="X78" i="2" s="1"/>
  <c r="S78" i="2"/>
  <c r="Z78" i="2" s="1"/>
  <c r="O78" i="2"/>
  <c r="V78" i="2" s="1"/>
  <c r="T78" i="2"/>
  <c r="AA78" i="2" s="1"/>
  <c r="R78" i="2"/>
  <c r="Y78" i="2" s="1"/>
  <c r="P78" i="2"/>
  <c r="W78" i="2" s="1"/>
  <c r="AC78" i="2" l="1"/>
  <c r="E78" i="2" s="1"/>
  <c r="J79" i="2" s="1"/>
  <c r="AE78" i="2"/>
  <c r="F78" i="2" s="1"/>
  <c r="K79" i="2" s="1"/>
  <c r="H79" i="2" l="1"/>
  <c r="L79" i="2"/>
  <c r="I79" i="2"/>
  <c r="T79" i="2" l="1"/>
  <c r="AA79" i="2" s="1"/>
  <c r="P79" i="2"/>
  <c r="W79" i="2" s="1"/>
  <c r="S79" i="2"/>
  <c r="Z79" i="2" s="1"/>
  <c r="O79" i="2"/>
  <c r="V79" i="2" s="1"/>
  <c r="Q79" i="2"/>
  <c r="X79" i="2" s="1"/>
  <c r="R79" i="2"/>
  <c r="Y79" i="2" s="1"/>
  <c r="AC79" i="2" l="1"/>
  <c r="E79" i="2" s="1"/>
  <c r="J80" i="2" s="1"/>
  <c r="AE79" i="2"/>
  <c r="F79" i="2" s="1"/>
  <c r="K80" i="2" s="1"/>
  <c r="L80" i="2" l="1"/>
  <c r="H80" i="2"/>
  <c r="I80" i="2"/>
  <c r="R80" i="2" l="1"/>
  <c r="Y80" i="2" s="1"/>
  <c r="O80" i="2"/>
  <c r="V80" i="2" s="1"/>
  <c r="P80" i="2"/>
  <c r="W80" i="2" s="1"/>
  <c r="T80" i="2"/>
  <c r="AA80" i="2" s="1"/>
  <c r="Q80" i="2"/>
  <c r="X80" i="2" s="1"/>
  <c r="S80" i="2"/>
  <c r="Z80" i="2" s="1"/>
  <c r="AC80" i="2" l="1"/>
  <c r="E80" i="2" s="1"/>
  <c r="J81" i="2" s="1"/>
  <c r="AE80" i="2"/>
  <c r="F80" i="2" s="1"/>
  <c r="K81" i="2" s="1"/>
  <c r="L81" i="2" l="1"/>
  <c r="H81" i="2"/>
  <c r="I81" i="2"/>
  <c r="P81" i="2" l="1"/>
  <c r="W81" i="2" s="1"/>
  <c r="Q81" i="2"/>
  <c r="X81" i="2" s="1"/>
  <c r="O81" i="2"/>
  <c r="V81" i="2" s="1"/>
  <c r="T81" i="2"/>
  <c r="AA81" i="2" s="1"/>
  <c r="S81" i="2"/>
  <c r="Z81" i="2" s="1"/>
  <c r="R81" i="2"/>
  <c r="Y81" i="2" s="1"/>
  <c r="AC81" i="2" l="1"/>
  <c r="E81" i="2" s="1"/>
  <c r="AE81" i="2"/>
  <c r="F81" i="2" s="1"/>
  <c r="K82" i="2" s="1"/>
  <c r="J82" i="2"/>
  <c r="H82" i="2" l="1"/>
  <c r="L82" i="2"/>
  <c r="I82" i="2"/>
  <c r="P82" i="2" l="1"/>
  <c r="W82" i="2" s="1"/>
  <c r="S82" i="2"/>
  <c r="Z82" i="2" s="1"/>
  <c r="O82" i="2"/>
  <c r="V82" i="2" s="1"/>
  <c r="Q82" i="2"/>
  <c r="X82" i="2" s="1"/>
  <c r="R82" i="2"/>
  <c r="Y82" i="2" s="1"/>
  <c r="T82" i="2"/>
  <c r="AA82" i="2" s="1"/>
  <c r="AC82" i="2" l="1"/>
  <c r="E82" i="2" s="1"/>
  <c r="J83" i="2" s="1"/>
  <c r="AE82" i="2"/>
  <c r="F82" i="2" s="1"/>
  <c r="K83" i="2" s="1"/>
  <c r="H83" i="2" l="1"/>
  <c r="L83" i="2"/>
  <c r="I83" i="2"/>
  <c r="S83" i="2" l="1"/>
  <c r="Z83" i="2" s="1"/>
  <c r="Q83" i="2"/>
  <c r="X83" i="2" s="1"/>
  <c r="R83" i="2"/>
  <c r="Y83" i="2" s="1"/>
  <c r="O83" i="2"/>
  <c r="V83" i="2" s="1"/>
  <c r="P83" i="2"/>
  <c r="W83" i="2" s="1"/>
  <c r="T83" i="2"/>
  <c r="AA83" i="2" s="1"/>
  <c r="AE83" i="2" l="1"/>
  <c r="F83" i="2" s="1"/>
  <c r="K84" i="2" s="1"/>
  <c r="AC83" i="2"/>
  <c r="E83" i="2" s="1"/>
  <c r="I84" i="2" l="1"/>
  <c r="L84" i="2"/>
  <c r="H84" i="2"/>
  <c r="J84" i="2"/>
  <c r="R84" i="2" l="1"/>
  <c r="Y84" i="2" s="1"/>
  <c r="T84" i="2"/>
  <c r="AA84" i="2" s="1"/>
  <c r="P84" i="2"/>
  <c r="W84" i="2" s="1"/>
  <c r="Q84" i="2"/>
  <c r="X84" i="2" s="1"/>
  <c r="O84" i="2"/>
  <c r="V84" i="2" s="1"/>
  <c r="S84" i="2"/>
  <c r="Z84" i="2" s="1"/>
  <c r="AE84" i="2" l="1"/>
  <c r="F84" i="2" s="1"/>
  <c r="K85" i="2" s="1"/>
  <c r="AC84" i="2"/>
  <c r="E84" i="2" s="1"/>
  <c r="L85" i="2" l="1"/>
  <c r="J85" i="2"/>
  <c r="I85" i="2"/>
  <c r="H85" i="2"/>
  <c r="S85" i="2" l="1"/>
  <c r="Z85" i="2" s="1"/>
  <c r="Q85" i="2"/>
  <c r="X85" i="2" s="1"/>
  <c r="P85" i="2"/>
  <c r="W85" i="2" s="1"/>
  <c r="R85" i="2"/>
  <c r="Y85" i="2" s="1"/>
  <c r="T85" i="2"/>
  <c r="AA85" i="2" s="1"/>
  <c r="O85" i="2"/>
  <c r="V85" i="2" s="1"/>
  <c r="AE85" i="2" l="1"/>
  <c r="F85" i="2" s="1"/>
  <c r="K86" i="2" s="1"/>
  <c r="AC85" i="2"/>
  <c r="E85" i="2" s="1"/>
  <c r="L86" i="2" l="1"/>
  <c r="H86" i="2"/>
  <c r="J86" i="2"/>
  <c r="I86" i="2"/>
  <c r="Q86" i="2" l="1"/>
  <c r="X86" i="2" s="1"/>
  <c r="T86" i="2"/>
  <c r="AA86" i="2" s="1"/>
  <c r="P86" i="2"/>
  <c r="W86" i="2" s="1"/>
  <c r="O86" i="2"/>
  <c r="V86" i="2" s="1"/>
  <c r="S86" i="2"/>
  <c r="Z86" i="2" s="1"/>
  <c r="R86" i="2"/>
  <c r="Y86" i="2" s="1"/>
  <c r="AC86" i="2" l="1"/>
  <c r="E86" i="2" s="1"/>
  <c r="AE86" i="2"/>
  <c r="F86" i="2" s="1"/>
  <c r="K87" i="2" s="1"/>
  <c r="J87" i="2"/>
  <c r="H87" i="2" l="1"/>
  <c r="I87" i="2"/>
  <c r="L87" i="2"/>
  <c r="S87" i="2" l="1"/>
  <c r="Z87" i="2" s="1"/>
  <c r="P87" i="2"/>
  <c r="W87" i="2" s="1"/>
  <c r="O87" i="2"/>
  <c r="V87" i="2" s="1"/>
  <c r="T87" i="2"/>
  <c r="AA87" i="2" s="1"/>
  <c r="Q87" i="2"/>
  <c r="X87" i="2" s="1"/>
  <c r="R87" i="2"/>
  <c r="Y87" i="2" s="1"/>
  <c r="AE87" i="2" s="1"/>
  <c r="F87" i="2" s="1"/>
  <c r="K88" i="2" s="1"/>
  <c r="AC87" i="2" l="1"/>
  <c r="E87" i="2" s="1"/>
  <c r="L88" i="2" s="1"/>
  <c r="J88" i="2"/>
  <c r="H88" i="2"/>
  <c r="I88" i="2"/>
  <c r="P88" i="2" l="1"/>
  <c r="W88" i="2" s="1"/>
  <c r="Q88" i="2"/>
  <c r="X88" i="2" s="1"/>
  <c r="T88" i="2"/>
  <c r="AA88" i="2" s="1"/>
  <c r="O88" i="2"/>
  <c r="V88" i="2" s="1"/>
  <c r="S88" i="2"/>
  <c r="Z88" i="2" s="1"/>
  <c r="R88" i="2"/>
  <c r="Y88" i="2" s="1"/>
  <c r="AE88" i="2" l="1"/>
  <c r="F88" i="2" s="1"/>
  <c r="K89" i="2" s="1"/>
  <c r="AC88" i="2"/>
  <c r="E88" i="2" s="1"/>
  <c r="L89" i="2" l="1"/>
  <c r="H89" i="2"/>
  <c r="I89" i="2"/>
  <c r="J89" i="2"/>
  <c r="R89" i="2" l="1"/>
  <c r="Y89" i="2" s="1"/>
  <c r="T89" i="2"/>
  <c r="AA89" i="2" s="1"/>
  <c r="O89" i="2"/>
  <c r="V89" i="2" s="1"/>
  <c r="Q89" i="2"/>
  <c r="X89" i="2" s="1"/>
  <c r="P89" i="2"/>
  <c r="W89" i="2" s="1"/>
  <c r="S89" i="2"/>
  <c r="Z89" i="2" s="1"/>
  <c r="AE89" i="2" l="1"/>
  <c r="F89" i="2" s="1"/>
  <c r="K90" i="2" s="1"/>
  <c r="AC89" i="2"/>
  <c r="E89" i="2" s="1"/>
  <c r="L90" i="2" l="1"/>
  <c r="J90" i="2"/>
  <c r="I90" i="2"/>
  <c r="H90" i="2"/>
  <c r="T90" i="2" l="1"/>
  <c r="AA90" i="2" s="1"/>
  <c r="O90" i="2"/>
  <c r="V90" i="2" s="1"/>
  <c r="R90" i="2"/>
  <c r="Y90" i="2" s="1"/>
  <c r="P90" i="2"/>
  <c r="W90" i="2" s="1"/>
  <c r="Q90" i="2"/>
  <c r="X90" i="2" s="1"/>
  <c r="S90" i="2"/>
  <c r="Z90" i="2" s="1"/>
  <c r="AE90" i="2" l="1"/>
  <c r="F90" i="2" s="1"/>
  <c r="K91" i="2" s="1"/>
  <c r="AC90" i="2"/>
  <c r="E90" i="2" s="1"/>
  <c r="L91" i="2" l="1"/>
  <c r="H91" i="2"/>
  <c r="J91" i="2"/>
  <c r="I91" i="2"/>
  <c r="R91" i="2" l="1"/>
  <c r="Y91" i="2" s="1"/>
  <c r="Q91" i="2"/>
  <c r="X91" i="2" s="1"/>
  <c r="P91" i="2"/>
  <c r="W91" i="2" s="1"/>
  <c r="T91" i="2"/>
  <c r="AA91" i="2" s="1"/>
  <c r="O91" i="2"/>
  <c r="V91" i="2" s="1"/>
  <c r="S91" i="2"/>
  <c r="Z91" i="2" s="1"/>
  <c r="AC91" i="2" l="1"/>
  <c r="E91" i="2" s="1"/>
  <c r="AE91" i="2"/>
  <c r="F91" i="2" s="1"/>
  <c r="K92" i="2" s="1"/>
  <c r="H92" i="2" l="1"/>
  <c r="J92" i="2"/>
  <c r="I92" i="2"/>
  <c r="L92" i="2"/>
  <c r="S92" i="2" l="1"/>
  <c r="Z92" i="2" s="1"/>
  <c r="P92" i="2"/>
  <c r="W92" i="2" s="1"/>
  <c r="Q92" i="2"/>
  <c r="X92" i="2" s="1"/>
  <c r="T92" i="2"/>
  <c r="AA92" i="2" s="1"/>
  <c r="O92" i="2"/>
  <c r="V92" i="2" s="1"/>
  <c r="R92" i="2"/>
  <c r="Y92" i="2" s="1"/>
  <c r="AC92" i="2" l="1"/>
  <c r="E92" i="2" s="1"/>
  <c r="AE92" i="2"/>
  <c r="F92" i="2" s="1"/>
  <c r="K93" i="2" s="1"/>
  <c r="L93" i="2" l="1"/>
  <c r="H93" i="2"/>
  <c r="J93" i="2"/>
  <c r="I93" i="2"/>
  <c r="P93" i="2" l="1"/>
  <c r="W93" i="2" s="1"/>
  <c r="Q93" i="2"/>
  <c r="X93" i="2" s="1"/>
  <c r="T93" i="2"/>
  <c r="AA93" i="2" s="1"/>
  <c r="O93" i="2"/>
  <c r="V93" i="2" s="1"/>
  <c r="S93" i="2"/>
  <c r="Z93" i="2" s="1"/>
  <c r="R93" i="2"/>
  <c r="Y93" i="2" s="1"/>
  <c r="AC93" i="2" l="1"/>
  <c r="E93" i="2" s="1"/>
  <c r="AE93" i="2"/>
  <c r="F93" i="2" s="1"/>
  <c r="K94" i="2" s="1"/>
  <c r="I94" i="2" l="1"/>
  <c r="L94" i="2"/>
  <c r="J94" i="2"/>
  <c r="H94" i="2"/>
  <c r="Q94" i="2" l="1"/>
  <c r="X94" i="2" s="1"/>
  <c r="T94" i="2"/>
  <c r="AA94" i="2" s="1"/>
  <c r="O94" i="2"/>
  <c r="V94" i="2" s="1"/>
  <c r="S94" i="2"/>
  <c r="Z94" i="2" s="1"/>
  <c r="P94" i="2"/>
  <c r="W94" i="2" s="1"/>
  <c r="R94" i="2"/>
  <c r="Y94" i="2" s="1"/>
  <c r="AC94" i="2" l="1"/>
  <c r="E94" i="2" s="1"/>
  <c r="AE94" i="2"/>
  <c r="F94" i="2" s="1"/>
  <c r="K95" i="2" s="1"/>
  <c r="I95" i="2" l="1"/>
  <c r="J95" i="2"/>
  <c r="L95" i="2"/>
  <c r="H95" i="2"/>
  <c r="P95" i="2" l="1"/>
  <c r="W95" i="2" s="1"/>
  <c r="T95" i="2"/>
  <c r="AA95" i="2" s="1"/>
  <c r="O95" i="2"/>
  <c r="V95" i="2" s="1"/>
  <c r="S95" i="2"/>
  <c r="Z95" i="2" s="1"/>
  <c r="Q95" i="2"/>
  <c r="X95" i="2" s="1"/>
  <c r="R95" i="2"/>
  <c r="Y95" i="2" s="1"/>
  <c r="AE95" i="2" l="1"/>
  <c r="F95" i="2" s="1"/>
  <c r="K96" i="2" s="1"/>
  <c r="AC95" i="2"/>
  <c r="E95" i="2" s="1"/>
  <c r="J96" i="2" l="1"/>
  <c r="L96" i="2"/>
  <c r="I96" i="2"/>
  <c r="H96" i="2"/>
  <c r="R96" i="2" l="1"/>
  <c r="Y96" i="2" s="1"/>
  <c r="S96" i="2"/>
  <c r="Z96" i="2" s="1"/>
  <c r="T96" i="2"/>
  <c r="AA96" i="2" s="1"/>
  <c r="O96" i="2"/>
  <c r="V96" i="2" s="1"/>
  <c r="P96" i="2"/>
  <c r="W96" i="2" s="1"/>
  <c r="Q96" i="2"/>
  <c r="X96" i="2" s="1"/>
  <c r="AC96" i="2" l="1"/>
  <c r="E96" i="2" s="1"/>
  <c r="AE96" i="2"/>
  <c r="F96" i="2" s="1"/>
  <c r="K97" i="2" s="1"/>
  <c r="J97" i="2" l="1"/>
  <c r="L97" i="2"/>
  <c r="H97" i="2"/>
  <c r="I97" i="2"/>
  <c r="Q97" i="2" l="1"/>
  <c r="X97" i="2" s="1"/>
  <c r="P97" i="2"/>
  <c r="W97" i="2" s="1"/>
  <c r="O97" i="2"/>
  <c r="V97" i="2" s="1"/>
  <c r="T97" i="2"/>
  <c r="AA97" i="2" s="1"/>
  <c r="S97" i="2"/>
  <c r="Z97" i="2" s="1"/>
  <c r="R97" i="2"/>
  <c r="Y97" i="2" s="1"/>
  <c r="AE97" i="2" l="1"/>
  <c r="F97" i="2" s="1"/>
  <c r="K98" i="2" s="1"/>
  <c r="AC97" i="2"/>
  <c r="E97" i="2" s="1"/>
  <c r="L98" i="2" l="1"/>
  <c r="H98" i="2"/>
  <c r="J98" i="2"/>
  <c r="I98" i="2"/>
  <c r="T98" i="2" l="1"/>
  <c r="AA98" i="2" s="1"/>
  <c r="O98" i="2"/>
  <c r="V98" i="2" s="1"/>
  <c r="R98" i="2"/>
  <c r="Y98" i="2" s="1"/>
  <c r="P98" i="2"/>
  <c r="W98" i="2" s="1"/>
  <c r="Q98" i="2"/>
  <c r="X98" i="2" s="1"/>
  <c r="S98" i="2"/>
  <c r="Z98" i="2" s="1"/>
  <c r="AC98" i="2" l="1"/>
  <c r="E98" i="2" s="1"/>
  <c r="AE98" i="2"/>
  <c r="F98" i="2" s="1"/>
  <c r="K99" i="2" s="1"/>
  <c r="L99" i="2" l="1"/>
  <c r="H99" i="2"/>
  <c r="J99" i="2"/>
  <c r="I99" i="2"/>
  <c r="T99" i="2" l="1"/>
  <c r="AA99" i="2" s="1"/>
  <c r="O99" i="2"/>
  <c r="V99" i="2" s="1"/>
  <c r="P99" i="2"/>
  <c r="W99" i="2" s="1"/>
  <c r="Q99" i="2"/>
  <c r="X99" i="2" s="1"/>
  <c r="S99" i="2"/>
  <c r="Z99" i="2" s="1"/>
  <c r="R99" i="2"/>
  <c r="Y99" i="2" s="1"/>
  <c r="AC99" i="2" l="1"/>
  <c r="E99" i="2" s="1"/>
  <c r="AE99" i="2"/>
  <c r="F99" i="2" s="1"/>
  <c r="K100" i="2" s="1"/>
  <c r="L100" i="2" l="1"/>
  <c r="I100" i="2"/>
  <c r="J100" i="2"/>
  <c r="H100" i="2"/>
  <c r="S100" i="2" l="1"/>
  <c r="Z100" i="2" s="1"/>
  <c r="O100" i="2"/>
  <c r="V100" i="2" s="1"/>
  <c r="T100" i="2"/>
  <c r="AA100" i="2" s="1"/>
  <c r="Q100" i="2"/>
  <c r="X100" i="2" s="1"/>
  <c r="P100" i="2"/>
  <c r="W100" i="2" s="1"/>
  <c r="R100" i="2"/>
  <c r="Y100" i="2" s="1"/>
  <c r="AC100" i="2" l="1"/>
  <c r="E100" i="2" s="1"/>
  <c r="AE100" i="2"/>
  <c r="F100" i="2" s="1"/>
  <c r="K101" i="2" s="1"/>
  <c r="I101" i="2" l="1"/>
  <c r="L101" i="2"/>
  <c r="J101" i="2"/>
  <c r="H101" i="2"/>
  <c r="P101" i="2" l="1"/>
  <c r="W101" i="2" s="1"/>
  <c r="T101" i="2"/>
  <c r="AA101" i="2" s="1"/>
  <c r="O101" i="2"/>
  <c r="V101" i="2" s="1"/>
  <c r="Q101" i="2"/>
  <c r="X101" i="2" s="1"/>
  <c r="S101" i="2"/>
  <c r="Z101" i="2" s="1"/>
  <c r="R101" i="2"/>
  <c r="Y101" i="2" s="1"/>
  <c r="AC101" i="2" l="1"/>
  <c r="E101" i="2" s="1"/>
  <c r="AE101" i="2"/>
  <c r="F101" i="2" s="1"/>
  <c r="K102" i="2" s="1"/>
  <c r="L102" i="2" l="1"/>
  <c r="I102" i="2"/>
  <c r="J102" i="2"/>
  <c r="H102" i="2"/>
  <c r="S102" i="2" l="1"/>
  <c r="Z102" i="2" s="1"/>
  <c r="T102" i="2"/>
  <c r="AA102" i="2" s="1"/>
  <c r="O102" i="2"/>
  <c r="V102" i="2" s="1"/>
  <c r="Q102" i="2"/>
  <c r="X102" i="2" s="1"/>
  <c r="P102" i="2"/>
  <c r="W102" i="2" s="1"/>
  <c r="R102" i="2"/>
  <c r="Y102" i="2" s="1"/>
  <c r="AC102" i="2" l="1"/>
  <c r="E102" i="2" s="1"/>
  <c r="AE102" i="2"/>
  <c r="F102" i="2" s="1"/>
  <c r="K103" i="2" s="1"/>
  <c r="I103" i="2" l="1"/>
  <c r="J103" i="2"/>
  <c r="L103" i="2"/>
  <c r="H103" i="2"/>
  <c r="T103" i="2" l="1"/>
  <c r="AA103" i="2" s="1"/>
  <c r="O103" i="2"/>
  <c r="V103" i="2" s="1"/>
  <c r="S103" i="2"/>
  <c r="Z103" i="2" s="1"/>
  <c r="Q103" i="2"/>
  <c r="X103" i="2" s="1"/>
  <c r="P103" i="2"/>
  <c r="W103" i="2" s="1"/>
  <c r="R103" i="2"/>
  <c r="Y103" i="2" s="1"/>
  <c r="AC103" i="2" l="1"/>
  <c r="E103" i="2" s="1"/>
  <c r="AE103" i="2"/>
  <c r="F103" i="2" s="1"/>
  <c r="K104" i="2" s="1"/>
  <c r="I104" i="2" l="1"/>
  <c r="H104" i="2"/>
  <c r="J104" i="2"/>
  <c r="L104" i="2"/>
  <c r="P104" i="2" l="1"/>
  <c r="W104" i="2" s="1"/>
  <c r="Q104" i="2"/>
  <c r="X104" i="2" s="1"/>
  <c r="S104" i="2"/>
  <c r="Z104" i="2" s="1"/>
  <c r="O104" i="2"/>
  <c r="V104" i="2" s="1"/>
  <c r="T104" i="2"/>
  <c r="AA104" i="2" s="1"/>
  <c r="R104" i="2"/>
  <c r="Y104" i="2" s="1"/>
  <c r="AE104" i="2" l="1"/>
  <c r="F104" i="2" s="1"/>
  <c r="K105" i="2" s="1"/>
  <c r="AC104" i="2"/>
  <c r="E104" i="2" s="1"/>
  <c r="I105" i="2" l="1"/>
  <c r="J105" i="2"/>
  <c r="L105" i="2"/>
  <c r="H105" i="2"/>
  <c r="R105" i="2" l="1"/>
  <c r="Y105" i="2" s="1"/>
  <c r="O105" i="2"/>
  <c r="V105" i="2" s="1"/>
  <c r="T105" i="2"/>
  <c r="AA105" i="2" s="1"/>
  <c r="S105" i="2"/>
  <c r="Z105" i="2" s="1"/>
  <c r="Q105" i="2"/>
  <c r="X105" i="2" s="1"/>
  <c r="P105" i="2"/>
  <c r="W105" i="2" s="1"/>
  <c r="AC105" i="2" l="1"/>
  <c r="E105" i="2" s="1"/>
  <c r="AE105" i="2"/>
  <c r="F105" i="2" s="1"/>
  <c r="K106" i="2" s="1"/>
  <c r="I106" i="2" l="1"/>
  <c r="H106" i="2"/>
  <c r="L106" i="2"/>
  <c r="J106" i="2"/>
  <c r="S106" i="2" l="1"/>
  <c r="Z106" i="2" s="1"/>
  <c r="Q106" i="2"/>
  <c r="X106" i="2" s="1"/>
  <c r="T106" i="2"/>
  <c r="AA106" i="2" s="1"/>
  <c r="O106" i="2"/>
  <c r="V106" i="2" s="1"/>
  <c r="P106" i="2"/>
  <c r="W106" i="2" s="1"/>
  <c r="R106" i="2"/>
  <c r="Y106" i="2" s="1"/>
  <c r="AC106" i="2" l="1"/>
  <c r="E106" i="2" s="1"/>
  <c r="AE106" i="2"/>
  <c r="F106" i="2" s="1"/>
  <c r="K107" i="2" s="1"/>
  <c r="J107" i="2" l="1"/>
  <c r="L107" i="2"/>
  <c r="H107" i="2"/>
  <c r="I107" i="2"/>
  <c r="T107" i="2" l="1"/>
  <c r="AA107" i="2" s="1"/>
  <c r="O107" i="2"/>
  <c r="V107" i="2" s="1"/>
  <c r="P107" i="2"/>
  <c r="W107" i="2" s="1"/>
  <c r="S107" i="2"/>
  <c r="Z107" i="2" s="1"/>
  <c r="Q107" i="2"/>
  <c r="X107" i="2" s="1"/>
  <c r="R107" i="2"/>
  <c r="Y107" i="2" s="1"/>
  <c r="AC107" i="2" l="1"/>
  <c r="E107" i="2" s="1"/>
  <c r="AE107" i="2"/>
  <c r="F107" i="2" s="1"/>
  <c r="K108" i="2" s="1"/>
  <c r="J108" i="2" l="1"/>
  <c r="I108" i="2"/>
  <c r="L108" i="2"/>
  <c r="H108" i="2"/>
  <c r="T108" i="2" l="1"/>
  <c r="AA108" i="2" s="1"/>
  <c r="O108" i="2"/>
  <c r="V108" i="2" s="1"/>
  <c r="Q108" i="2"/>
  <c r="X108" i="2" s="1"/>
  <c r="S108" i="2"/>
  <c r="Z108" i="2" s="1"/>
  <c r="P108" i="2"/>
  <c r="W108" i="2" s="1"/>
  <c r="R108" i="2"/>
  <c r="Y108" i="2" s="1"/>
  <c r="AC108" i="2" l="1"/>
  <c r="E108" i="2" s="1"/>
  <c r="AE108" i="2"/>
  <c r="F108" i="2" s="1"/>
  <c r="K109" i="2" s="1"/>
  <c r="I109" i="2" l="1"/>
  <c r="L109" i="2"/>
  <c r="J109" i="2"/>
  <c r="H109" i="2"/>
  <c r="T109" i="2" l="1"/>
  <c r="AA109" i="2" s="1"/>
  <c r="O109" i="2"/>
  <c r="V109" i="2" s="1"/>
  <c r="P109" i="2"/>
  <c r="W109" i="2" s="1"/>
  <c r="Q109" i="2"/>
  <c r="X109" i="2" s="1"/>
  <c r="S109" i="2"/>
  <c r="Z109" i="2" s="1"/>
  <c r="R109" i="2"/>
  <c r="Y109" i="2" s="1"/>
  <c r="AC109" i="2" l="1"/>
  <c r="E109" i="2" s="1"/>
  <c r="AE109" i="2"/>
  <c r="F109" i="2" s="1"/>
  <c r="K110" i="2" s="1"/>
  <c r="L110" i="2" l="1"/>
  <c r="I110" i="2"/>
  <c r="H110" i="2"/>
  <c r="J110" i="2"/>
  <c r="Q110" i="2" l="1"/>
  <c r="X110" i="2" s="1"/>
  <c r="O110" i="2"/>
  <c r="V110" i="2" s="1"/>
  <c r="T110" i="2"/>
  <c r="AA110" i="2" s="1"/>
  <c r="P110" i="2"/>
  <c r="W110" i="2" s="1"/>
  <c r="S110" i="2"/>
  <c r="Z110" i="2" s="1"/>
  <c r="R110" i="2"/>
  <c r="Y110" i="2" s="1"/>
  <c r="AC110" i="2" l="1"/>
  <c r="E110" i="2" s="1"/>
  <c r="AE110" i="2"/>
  <c r="F110" i="2" s="1"/>
  <c r="K111" i="2" s="1"/>
  <c r="L111" i="2" l="1"/>
  <c r="I111" i="2"/>
  <c r="J111" i="2"/>
  <c r="H111" i="2"/>
  <c r="S111" i="2" l="1"/>
  <c r="Z111" i="2" s="1"/>
  <c r="T111" i="2"/>
  <c r="AA111" i="2" s="1"/>
  <c r="O111" i="2"/>
  <c r="V111" i="2" s="1"/>
  <c r="Q111" i="2"/>
  <c r="X111" i="2" s="1"/>
  <c r="P111" i="2"/>
  <c r="W111" i="2" s="1"/>
  <c r="R111" i="2"/>
  <c r="Y111" i="2" s="1"/>
  <c r="AE111" i="2" l="1"/>
  <c r="F111" i="2" s="1"/>
  <c r="K112" i="2" s="1"/>
  <c r="AC111" i="2"/>
  <c r="E111" i="2" s="1"/>
  <c r="I112" i="2" l="1"/>
  <c r="H112" i="2"/>
  <c r="J112" i="2"/>
  <c r="L112" i="2"/>
  <c r="T112" i="2" l="1"/>
  <c r="AA112" i="2" s="1"/>
  <c r="O112" i="2"/>
  <c r="V112" i="2" s="1"/>
  <c r="R112" i="2"/>
  <c r="Y112" i="2" s="1"/>
  <c r="S112" i="2"/>
  <c r="Z112" i="2" s="1"/>
  <c r="Q112" i="2"/>
  <c r="X112" i="2" s="1"/>
  <c r="P112" i="2"/>
  <c r="W112" i="2" s="1"/>
  <c r="AC112" i="2" l="1"/>
  <c r="E112" i="2" s="1"/>
  <c r="AE112" i="2"/>
  <c r="F112" i="2" s="1"/>
  <c r="K113" i="2" s="1"/>
  <c r="I113" i="2" l="1"/>
  <c r="L113" i="2"/>
  <c r="H113" i="2"/>
  <c r="J113" i="2"/>
  <c r="P113" i="2" l="1"/>
  <c r="W113" i="2" s="1"/>
  <c r="Q113" i="2"/>
  <c r="X113" i="2" s="1"/>
  <c r="T113" i="2"/>
  <c r="AA113" i="2" s="1"/>
  <c r="O113" i="2"/>
  <c r="V113" i="2" s="1"/>
  <c r="S113" i="2"/>
  <c r="Z113" i="2" s="1"/>
  <c r="R113" i="2"/>
  <c r="Y113" i="2" s="1"/>
  <c r="AC113" i="2" l="1"/>
  <c r="E113" i="2" s="1"/>
  <c r="AE113" i="2"/>
  <c r="F113" i="2" s="1"/>
  <c r="K114" i="2" s="1"/>
  <c r="L114" i="2" l="1"/>
  <c r="J114" i="2"/>
  <c r="H114" i="2"/>
  <c r="I114" i="2"/>
  <c r="P114" i="2" l="1"/>
  <c r="W114" i="2" s="1"/>
  <c r="O114" i="2"/>
  <c r="V114" i="2" s="1"/>
  <c r="T114" i="2"/>
  <c r="AA114" i="2" s="1"/>
  <c r="Q114" i="2"/>
  <c r="X114" i="2" s="1"/>
  <c r="S114" i="2"/>
  <c r="Z114" i="2" s="1"/>
  <c r="R114" i="2"/>
  <c r="Y114" i="2" s="1"/>
  <c r="AE114" i="2" l="1"/>
  <c r="F114" i="2" s="1"/>
  <c r="K115" i="2" s="1"/>
  <c r="AC114" i="2"/>
  <c r="E114" i="2" s="1"/>
  <c r="L115" i="2" l="1"/>
  <c r="H115" i="2"/>
  <c r="I115" i="2"/>
  <c r="J115" i="2"/>
  <c r="R115" i="2" l="1"/>
  <c r="Y115" i="2" s="1"/>
  <c r="Q115" i="2"/>
  <c r="X115" i="2" s="1"/>
  <c r="P115" i="2"/>
  <c r="W115" i="2" s="1"/>
  <c r="T115" i="2"/>
  <c r="AA115" i="2" s="1"/>
  <c r="O115" i="2"/>
  <c r="V115" i="2" s="1"/>
  <c r="S115" i="2"/>
  <c r="Z115" i="2" s="1"/>
  <c r="AC115" i="2" l="1"/>
  <c r="E115" i="2" s="1"/>
  <c r="AE115" i="2"/>
  <c r="F115" i="2" s="1"/>
  <c r="K116" i="2" s="1"/>
  <c r="L116" i="2" l="1"/>
  <c r="J116" i="2"/>
  <c r="I116" i="2"/>
  <c r="H116" i="2"/>
  <c r="Q116" i="2" l="1"/>
  <c r="X116" i="2" s="1"/>
  <c r="T116" i="2"/>
  <c r="AA116" i="2" s="1"/>
  <c r="O116" i="2"/>
  <c r="V116" i="2" s="1"/>
  <c r="P116" i="2"/>
  <c r="W116" i="2" s="1"/>
  <c r="S116" i="2"/>
  <c r="Z116" i="2" s="1"/>
  <c r="R116" i="2"/>
  <c r="Y116" i="2" s="1"/>
  <c r="AC116" i="2" l="1"/>
  <c r="E116" i="2" s="1"/>
  <c r="AE116" i="2"/>
  <c r="F116" i="2" s="1"/>
  <c r="K117" i="2" s="1"/>
  <c r="L117" i="2" l="1"/>
  <c r="I117" i="2"/>
  <c r="J117" i="2"/>
  <c r="H117" i="2"/>
  <c r="P117" i="2" l="1"/>
  <c r="W117" i="2" s="1"/>
  <c r="T117" i="2"/>
  <c r="AA117" i="2" s="1"/>
  <c r="O117" i="2"/>
  <c r="V117" i="2" s="1"/>
  <c r="Q117" i="2"/>
  <c r="X117" i="2" s="1"/>
  <c r="S117" i="2"/>
  <c r="Z117" i="2" s="1"/>
  <c r="R117" i="2"/>
  <c r="Y117" i="2" s="1"/>
  <c r="AC117" i="2" l="1"/>
  <c r="E117" i="2" s="1"/>
  <c r="AE117" i="2"/>
  <c r="F117" i="2" s="1"/>
  <c r="K118" i="2" s="1"/>
  <c r="L118" i="2" l="1"/>
  <c r="J118" i="2"/>
  <c r="I118" i="2"/>
  <c r="H118" i="2"/>
  <c r="S118" i="2" l="1"/>
  <c r="Z118" i="2" s="1"/>
  <c r="T118" i="2"/>
  <c r="AA118" i="2" s="1"/>
  <c r="O118" i="2"/>
  <c r="V118" i="2" s="1"/>
  <c r="P118" i="2"/>
  <c r="W118" i="2" s="1"/>
  <c r="Q118" i="2"/>
  <c r="X118" i="2" s="1"/>
  <c r="R118" i="2"/>
  <c r="Y118" i="2" s="1"/>
  <c r="AC118" i="2" l="1"/>
  <c r="E118" i="2" s="1"/>
  <c r="AE118" i="2"/>
  <c r="F118" i="2" s="1"/>
  <c r="K119" i="2" s="1"/>
  <c r="J119" i="2" l="1"/>
  <c r="I119" i="2"/>
  <c r="L119" i="2"/>
  <c r="H119" i="2"/>
  <c r="T119" i="2" l="1"/>
  <c r="AA119" i="2" s="1"/>
  <c r="O119" i="2"/>
  <c r="V119" i="2" s="1"/>
  <c r="S119" i="2"/>
  <c r="Z119" i="2" s="1"/>
  <c r="P119" i="2"/>
  <c r="W119" i="2" s="1"/>
  <c r="Q119" i="2"/>
  <c r="X119" i="2" s="1"/>
  <c r="R119" i="2"/>
  <c r="Y119" i="2" s="1"/>
  <c r="AE119" i="2" l="1"/>
  <c r="F119" i="2" s="1"/>
  <c r="K120" i="2" s="1"/>
  <c r="AC119" i="2"/>
  <c r="E119" i="2" s="1"/>
  <c r="J120" i="2" l="1"/>
  <c r="L120" i="2"/>
  <c r="H120" i="2"/>
  <c r="I120" i="2"/>
  <c r="R120" i="2" l="1"/>
  <c r="Y120" i="2" s="1"/>
  <c r="S120" i="2"/>
  <c r="Z120" i="2" s="1"/>
  <c r="P120" i="2"/>
  <c r="W120" i="2" s="1"/>
  <c r="T120" i="2"/>
  <c r="AA120" i="2" s="1"/>
  <c r="O120" i="2"/>
  <c r="V120" i="2" s="1"/>
  <c r="Q120" i="2"/>
  <c r="X120" i="2" s="1"/>
  <c r="AE120" i="2" l="1"/>
  <c r="F120" i="2" s="1"/>
  <c r="K121" i="2" s="1"/>
  <c r="AC120" i="2"/>
  <c r="E120" i="2" s="1"/>
  <c r="J121" i="2" l="1"/>
  <c r="I121" i="2"/>
  <c r="H121" i="2"/>
  <c r="L121" i="2"/>
  <c r="R121" i="2" l="1"/>
  <c r="Y121" i="2" s="1"/>
  <c r="P121" i="2"/>
  <c r="W121" i="2" s="1"/>
  <c r="S121" i="2"/>
  <c r="Z121" i="2" s="1"/>
  <c r="O121" i="2"/>
  <c r="V121" i="2" s="1"/>
  <c r="T121" i="2"/>
  <c r="AA121" i="2" s="1"/>
  <c r="Q121" i="2"/>
  <c r="X121" i="2" s="1"/>
  <c r="AE121" i="2" l="1"/>
  <c r="F121" i="2" s="1"/>
  <c r="K122" i="2" s="1"/>
  <c r="AC121" i="2"/>
  <c r="E121" i="2" s="1"/>
  <c r="J122" i="2" l="1"/>
  <c r="H122" i="2"/>
  <c r="I122" i="2"/>
  <c r="L122" i="2"/>
  <c r="R122" i="2" l="1"/>
  <c r="Y122" i="2" s="1"/>
  <c r="S122" i="2"/>
  <c r="Z122" i="2" s="1"/>
  <c r="P122" i="2"/>
  <c r="W122" i="2" s="1"/>
  <c r="O122" i="2"/>
  <c r="V122" i="2" s="1"/>
  <c r="T122" i="2"/>
  <c r="AA122" i="2" s="1"/>
  <c r="Q122" i="2"/>
  <c r="X122" i="2" s="1"/>
  <c r="AC122" i="2" l="1"/>
  <c r="E122" i="2" s="1"/>
  <c r="AE122" i="2"/>
  <c r="F122" i="2" s="1"/>
  <c r="K123" i="2" s="1"/>
  <c r="H123" i="2" l="1"/>
  <c r="J123" i="2"/>
  <c r="L123" i="2"/>
  <c r="I123" i="2"/>
  <c r="S123" i="2" l="1"/>
  <c r="Z123" i="2" s="1"/>
  <c r="P123" i="2"/>
  <c r="W123" i="2" s="1"/>
  <c r="Q123" i="2"/>
  <c r="X123" i="2" s="1"/>
  <c r="T123" i="2"/>
  <c r="AA123" i="2" s="1"/>
  <c r="O123" i="2"/>
  <c r="V123" i="2" s="1"/>
  <c r="R123" i="2"/>
  <c r="Y123" i="2" s="1"/>
  <c r="AE123" i="2" l="1"/>
  <c r="F123" i="2" s="1"/>
  <c r="K124" i="2" s="1"/>
  <c r="AC123" i="2"/>
  <c r="E123" i="2" s="1"/>
  <c r="H124" i="2" l="1"/>
  <c r="J124" i="2"/>
  <c r="L124" i="2"/>
  <c r="I124" i="2"/>
  <c r="R124" i="2" l="1"/>
  <c r="Y124" i="2" s="1"/>
  <c r="S124" i="2"/>
  <c r="Z124" i="2" s="1"/>
  <c r="P124" i="2"/>
  <c r="W124" i="2" s="1"/>
  <c r="Q124" i="2"/>
  <c r="X124" i="2" s="1"/>
  <c r="O124" i="2"/>
  <c r="V124" i="2" s="1"/>
  <c r="T124" i="2"/>
  <c r="AA124" i="2" s="1"/>
  <c r="AC124" i="2" l="1"/>
  <c r="E124" i="2" s="1"/>
  <c r="AE124" i="2"/>
  <c r="F124" i="2" s="1"/>
  <c r="K125" i="2" s="1"/>
  <c r="H125" i="2" l="1"/>
  <c r="I125" i="2"/>
  <c r="L125" i="2"/>
  <c r="J125" i="2"/>
  <c r="T125" i="2" l="1"/>
  <c r="AA125" i="2" s="1"/>
  <c r="O125" i="2"/>
  <c r="V125" i="2" s="1"/>
  <c r="Q125" i="2"/>
  <c r="X125" i="2" s="1"/>
  <c r="S125" i="2"/>
  <c r="Z125" i="2" s="1"/>
  <c r="P125" i="2"/>
  <c r="W125" i="2" s="1"/>
  <c r="R125" i="2"/>
  <c r="Y125" i="2" s="1"/>
  <c r="AE125" i="2" l="1"/>
  <c r="F125" i="2" s="1"/>
  <c r="K126" i="2" s="1"/>
  <c r="AC125" i="2"/>
  <c r="E125" i="2" s="1"/>
  <c r="I126" i="2" l="1"/>
  <c r="J126" i="2"/>
  <c r="H126" i="2"/>
  <c r="L126" i="2"/>
  <c r="R126" i="2" l="1"/>
  <c r="Y126" i="2" s="1"/>
  <c r="Q126" i="2"/>
  <c r="X126" i="2" s="1"/>
  <c r="S126" i="2"/>
  <c r="Z126" i="2" s="1"/>
  <c r="O126" i="2"/>
  <c r="V126" i="2" s="1"/>
  <c r="T126" i="2"/>
  <c r="AA126" i="2" s="1"/>
  <c r="P126" i="2"/>
  <c r="W126" i="2" s="1"/>
  <c r="AC126" i="2" l="1"/>
  <c r="E126" i="2" s="1"/>
  <c r="AE126" i="2"/>
  <c r="F126" i="2" s="1"/>
  <c r="K127" i="2" s="1"/>
  <c r="J127" i="2" l="1"/>
  <c r="I127" i="2"/>
  <c r="L127" i="2"/>
  <c r="H127" i="2"/>
  <c r="R127" i="2" l="1"/>
  <c r="Y127" i="2" s="1"/>
  <c r="T127" i="2"/>
  <c r="AA127" i="2" s="1"/>
  <c r="O127" i="2"/>
  <c r="V127" i="2" s="1"/>
  <c r="S127" i="2"/>
  <c r="Z127" i="2" s="1"/>
  <c r="P127" i="2"/>
  <c r="W127" i="2" s="1"/>
  <c r="Q127" i="2"/>
  <c r="X127" i="2" s="1"/>
  <c r="AE127" i="2" l="1"/>
  <c r="F127" i="2" s="1"/>
  <c r="K128" i="2" s="1"/>
  <c r="AC127" i="2"/>
  <c r="E127" i="2" s="1"/>
  <c r="J128" i="2" l="1"/>
  <c r="H128" i="2"/>
  <c r="L128" i="2"/>
  <c r="I128" i="2"/>
  <c r="T128" i="2" l="1"/>
  <c r="AA128" i="2" s="1"/>
  <c r="O128" i="2"/>
  <c r="V128" i="2" s="1"/>
  <c r="R128" i="2"/>
  <c r="Y128" i="2" s="1"/>
  <c r="P128" i="2"/>
  <c r="W128" i="2" s="1"/>
  <c r="S128" i="2"/>
  <c r="Z128" i="2" s="1"/>
  <c r="Q128" i="2"/>
  <c r="X128" i="2" s="1"/>
  <c r="AC128" i="2" l="1"/>
  <c r="E128" i="2" s="1"/>
  <c r="AE128" i="2"/>
  <c r="F128" i="2" s="1"/>
  <c r="K129" i="2" s="1"/>
  <c r="J129" i="2" l="1"/>
  <c r="I129" i="2"/>
  <c r="L129" i="2"/>
  <c r="H129" i="2"/>
  <c r="T129" i="2" l="1"/>
  <c r="AA129" i="2" s="1"/>
  <c r="O129" i="2"/>
  <c r="V129" i="2" s="1"/>
  <c r="S129" i="2"/>
  <c r="Z129" i="2" s="1"/>
  <c r="P129" i="2"/>
  <c r="W129" i="2" s="1"/>
  <c r="Q129" i="2"/>
  <c r="X129" i="2" s="1"/>
  <c r="R129" i="2"/>
  <c r="Y129" i="2" s="1"/>
  <c r="AE129" i="2" l="1"/>
  <c r="F129" i="2" s="1"/>
  <c r="K130" i="2" s="1"/>
  <c r="AC129" i="2"/>
  <c r="E129" i="2" s="1"/>
  <c r="J130" i="2" l="1"/>
  <c r="L130" i="2"/>
  <c r="I130" i="2"/>
  <c r="H130" i="2"/>
  <c r="R130" i="2" l="1"/>
  <c r="Y130" i="2" s="1"/>
  <c r="P130" i="2"/>
  <c r="W130" i="2" s="1"/>
  <c r="T130" i="2"/>
  <c r="AA130" i="2" s="1"/>
  <c r="O130" i="2"/>
  <c r="V130" i="2" s="1"/>
  <c r="S130" i="2"/>
  <c r="Z130" i="2" s="1"/>
  <c r="Q130" i="2"/>
  <c r="X130" i="2" s="1"/>
  <c r="AE130" i="2" l="1"/>
  <c r="F130" i="2" s="1"/>
  <c r="K131" i="2" s="1"/>
  <c r="AC130" i="2"/>
  <c r="E130" i="2" s="1"/>
  <c r="J131" i="2" l="1"/>
  <c r="I131" i="2"/>
  <c r="L131" i="2"/>
  <c r="H131" i="2"/>
  <c r="R131" i="2" l="1"/>
  <c r="Y131" i="2" s="1"/>
  <c r="S131" i="2"/>
  <c r="Z131" i="2" s="1"/>
  <c r="O131" i="2"/>
  <c r="V131" i="2" s="1"/>
  <c r="T131" i="2"/>
  <c r="AA131" i="2" s="1"/>
  <c r="P131" i="2"/>
  <c r="W131" i="2" s="1"/>
  <c r="Q131" i="2"/>
  <c r="X131" i="2" s="1"/>
  <c r="AE131" i="2" l="1"/>
  <c r="F131" i="2" s="1"/>
  <c r="K132" i="2" s="1"/>
  <c r="AC131" i="2"/>
  <c r="E131" i="2" s="1"/>
  <c r="J132" i="2" l="1"/>
  <c r="H132" i="2"/>
  <c r="L132" i="2"/>
  <c r="I132" i="2"/>
  <c r="R132" i="2" l="1"/>
  <c r="Y132" i="2" s="1"/>
  <c r="P132" i="2"/>
  <c r="W132" i="2" s="1"/>
  <c r="S132" i="2"/>
  <c r="Z132" i="2" s="1"/>
  <c r="O132" i="2"/>
  <c r="V132" i="2" s="1"/>
  <c r="T132" i="2"/>
  <c r="AA132" i="2" s="1"/>
  <c r="Q132" i="2"/>
  <c r="X132" i="2" s="1"/>
  <c r="AC132" i="2" l="1"/>
  <c r="E132" i="2" s="1"/>
  <c r="AE132" i="2"/>
  <c r="F132" i="2" s="1"/>
  <c r="K133" i="2" s="1"/>
  <c r="J133" i="2" l="1"/>
  <c r="L133" i="2"/>
  <c r="H133" i="2"/>
  <c r="I133" i="2"/>
  <c r="P133" i="2" l="1"/>
  <c r="W133" i="2" s="1"/>
  <c r="T133" i="2"/>
  <c r="AA133" i="2" s="1"/>
  <c r="O133" i="2"/>
  <c r="V133" i="2" s="1"/>
  <c r="S133" i="2"/>
  <c r="Z133" i="2" s="1"/>
  <c r="Q133" i="2"/>
  <c r="X133" i="2" s="1"/>
  <c r="R133" i="2"/>
  <c r="Y133" i="2" s="1"/>
  <c r="AC133" i="2" l="1"/>
  <c r="E133" i="2" s="1"/>
  <c r="AE133" i="2"/>
  <c r="F133" i="2" s="1"/>
  <c r="K134" i="2" s="1"/>
  <c r="J134" i="2" l="1"/>
  <c r="L134" i="2"/>
  <c r="I134" i="2"/>
  <c r="H134" i="2"/>
  <c r="S134" i="2" l="1"/>
  <c r="Z134" i="2" s="1"/>
  <c r="T134" i="2"/>
  <c r="AA134" i="2" s="1"/>
  <c r="O134" i="2"/>
  <c r="V134" i="2" s="1"/>
  <c r="P134" i="2"/>
  <c r="W134" i="2" s="1"/>
  <c r="Q134" i="2"/>
  <c r="X134" i="2" s="1"/>
  <c r="R134" i="2"/>
  <c r="Y134" i="2" s="1"/>
  <c r="AC134" i="2" l="1"/>
  <c r="E134" i="2" s="1"/>
  <c r="AE134" i="2"/>
  <c r="F134" i="2" s="1"/>
  <c r="K135" i="2" s="1"/>
  <c r="J135" i="2" l="1"/>
  <c r="L135" i="2"/>
  <c r="I135" i="2"/>
  <c r="H135" i="2"/>
  <c r="T135" i="2" l="1"/>
  <c r="AA135" i="2" s="1"/>
  <c r="O135" i="2"/>
  <c r="V135" i="2" s="1"/>
  <c r="P135" i="2"/>
  <c r="W135" i="2" s="1"/>
  <c r="S135" i="2"/>
  <c r="Z135" i="2" s="1"/>
  <c r="Q135" i="2"/>
  <c r="X135" i="2" s="1"/>
  <c r="R135" i="2"/>
  <c r="Y135" i="2" s="1"/>
  <c r="AC135" i="2" l="1"/>
  <c r="E135" i="2" s="1"/>
  <c r="AE135" i="2"/>
  <c r="F135" i="2" s="1"/>
  <c r="K136" i="2" s="1"/>
  <c r="J136" i="2" l="1"/>
  <c r="H136" i="2"/>
  <c r="I136" i="2"/>
  <c r="L136" i="2"/>
  <c r="S136" i="2" l="1"/>
  <c r="Z136" i="2" s="1"/>
  <c r="P136" i="2"/>
  <c r="W136" i="2" s="1"/>
  <c r="T136" i="2"/>
  <c r="AA136" i="2" s="1"/>
  <c r="O136" i="2"/>
  <c r="V136" i="2" s="1"/>
  <c r="Q136" i="2"/>
  <c r="X136" i="2" s="1"/>
  <c r="R136" i="2"/>
  <c r="Y136" i="2" s="1"/>
  <c r="AC136" i="2" l="1"/>
  <c r="E136" i="2" s="1"/>
  <c r="AE136" i="2"/>
  <c r="F136" i="2" s="1"/>
  <c r="K137" i="2" s="1"/>
  <c r="J137" i="2" l="1"/>
  <c r="L137" i="2"/>
  <c r="I137" i="2"/>
  <c r="H137" i="2"/>
  <c r="O137" i="2" l="1"/>
  <c r="V137" i="2" s="1"/>
  <c r="T137" i="2"/>
  <c r="AA137" i="2" s="1"/>
  <c r="Q137" i="2"/>
  <c r="X137" i="2" s="1"/>
  <c r="P137" i="2"/>
  <c r="W137" i="2" s="1"/>
  <c r="S137" i="2"/>
  <c r="Z137" i="2" s="1"/>
  <c r="R137" i="2"/>
  <c r="Y137" i="2" s="1"/>
  <c r="AC137" i="2" l="1"/>
  <c r="E137" i="2" s="1"/>
  <c r="AE137" i="2"/>
  <c r="F137" i="2" s="1"/>
  <c r="K138" i="2" s="1"/>
  <c r="L138" i="2" l="1"/>
  <c r="H138" i="2"/>
  <c r="J138" i="2"/>
  <c r="I138" i="2"/>
  <c r="P138" i="2" l="1"/>
  <c r="W138" i="2" s="1"/>
  <c r="Q138" i="2"/>
  <c r="X138" i="2" s="1"/>
  <c r="O138" i="2"/>
  <c r="V138" i="2" s="1"/>
  <c r="T138" i="2"/>
  <c r="AA138" i="2" s="1"/>
  <c r="S138" i="2"/>
  <c r="Z138" i="2" s="1"/>
  <c r="R138" i="2"/>
  <c r="Y138" i="2" s="1"/>
  <c r="AC138" i="2" l="1"/>
  <c r="E138" i="2" s="1"/>
  <c r="AE138" i="2"/>
  <c r="F138" i="2" s="1"/>
  <c r="K139" i="2" s="1"/>
  <c r="L139" i="2" l="1"/>
  <c r="I139" i="2"/>
  <c r="H139" i="2"/>
  <c r="J139" i="2"/>
  <c r="Q139" i="2" l="1"/>
  <c r="X139" i="2" s="1"/>
  <c r="O139" i="2"/>
  <c r="V139" i="2" s="1"/>
  <c r="T139" i="2"/>
  <c r="AA139" i="2" s="1"/>
  <c r="P139" i="2"/>
  <c r="W139" i="2" s="1"/>
  <c r="S139" i="2"/>
  <c r="Z139" i="2" s="1"/>
  <c r="R139" i="2"/>
  <c r="Y139" i="2" s="1"/>
  <c r="AE139" i="2" l="1"/>
  <c r="F139" i="2" s="1"/>
  <c r="K140" i="2" s="1"/>
  <c r="AC139" i="2"/>
  <c r="E139" i="2" s="1"/>
  <c r="J140" i="2" l="1"/>
  <c r="L140" i="2"/>
  <c r="I140" i="2"/>
  <c r="H140" i="2"/>
  <c r="R140" i="2" l="1"/>
  <c r="Y140" i="2" s="1"/>
  <c r="S140" i="2"/>
  <c r="Z140" i="2" s="1"/>
  <c r="T140" i="2"/>
  <c r="AA140" i="2" s="1"/>
  <c r="O140" i="2"/>
  <c r="V140" i="2" s="1"/>
  <c r="P140" i="2"/>
  <c r="W140" i="2" s="1"/>
  <c r="Q140" i="2"/>
  <c r="X140" i="2" s="1"/>
  <c r="AC140" i="2" l="1"/>
  <c r="E140" i="2" s="1"/>
  <c r="AE140" i="2"/>
  <c r="F140" i="2" s="1"/>
  <c r="K141" i="2" s="1"/>
  <c r="J141" i="2" l="1"/>
  <c r="L141" i="2"/>
  <c r="H141" i="2"/>
  <c r="I141" i="2"/>
  <c r="P141" i="2" l="1"/>
  <c r="W141" i="2" s="1"/>
  <c r="O141" i="2"/>
  <c r="V141" i="2" s="1"/>
  <c r="T141" i="2"/>
  <c r="AA141" i="2" s="1"/>
  <c r="S141" i="2"/>
  <c r="Z141" i="2" s="1"/>
  <c r="Q141" i="2"/>
  <c r="X141" i="2" s="1"/>
  <c r="R141" i="2"/>
  <c r="Y141" i="2" s="1"/>
  <c r="AE141" i="2" l="1"/>
  <c r="F141" i="2" s="1"/>
  <c r="K142" i="2" s="1"/>
  <c r="AC141" i="2"/>
  <c r="E141" i="2" s="1"/>
  <c r="J142" i="2" l="1"/>
  <c r="L142" i="2"/>
  <c r="I142" i="2"/>
  <c r="H142" i="2"/>
  <c r="R142" i="2" l="1"/>
  <c r="Y142" i="2" s="1"/>
  <c r="S142" i="2"/>
  <c r="Z142" i="2" s="1"/>
  <c r="O142" i="2"/>
  <c r="V142" i="2" s="1"/>
  <c r="T142" i="2"/>
  <c r="AA142" i="2" s="1"/>
  <c r="P142" i="2"/>
  <c r="W142" i="2" s="1"/>
  <c r="Q142" i="2"/>
  <c r="X142" i="2" s="1"/>
  <c r="AC142" i="2" l="1"/>
  <c r="E142" i="2" s="1"/>
  <c r="AE142" i="2"/>
  <c r="F142" i="2" s="1"/>
  <c r="K143" i="2" s="1"/>
  <c r="J143" i="2" l="1"/>
  <c r="L143" i="2"/>
  <c r="H143" i="2"/>
  <c r="I143" i="2"/>
  <c r="S143" i="2" l="1"/>
  <c r="Z143" i="2" s="1"/>
  <c r="P143" i="2"/>
  <c r="W143" i="2" s="1"/>
  <c r="T143" i="2"/>
  <c r="AA143" i="2" s="1"/>
  <c r="O143" i="2"/>
  <c r="V143" i="2" s="1"/>
  <c r="Q143" i="2"/>
  <c r="X143" i="2" s="1"/>
  <c r="R143" i="2"/>
  <c r="Y143" i="2" s="1"/>
  <c r="AC143" i="2" l="1"/>
  <c r="E143" i="2" s="1"/>
  <c r="AE143" i="2"/>
  <c r="F143" i="2" s="1"/>
  <c r="K144" i="2" s="1"/>
  <c r="J144" i="2" l="1"/>
  <c r="I144" i="2"/>
  <c r="H144" i="2"/>
  <c r="L144" i="2"/>
  <c r="P144" i="2" l="1"/>
  <c r="W144" i="2" s="1"/>
  <c r="S144" i="2"/>
  <c r="Z144" i="2" s="1"/>
  <c r="T144" i="2"/>
  <c r="AA144" i="2" s="1"/>
  <c r="O144" i="2"/>
  <c r="V144" i="2" s="1"/>
  <c r="Q144" i="2"/>
  <c r="X144" i="2" s="1"/>
  <c r="R144" i="2"/>
  <c r="Y144" i="2" s="1"/>
  <c r="AC144" i="2" l="1"/>
  <c r="E144" i="2" s="1"/>
  <c r="AE144" i="2"/>
  <c r="F144" i="2" s="1"/>
  <c r="K145" i="2" s="1"/>
  <c r="J145" i="2" l="1"/>
  <c r="L145" i="2"/>
  <c r="I145" i="2"/>
  <c r="H145" i="2"/>
  <c r="T145" i="2" l="1"/>
  <c r="AA145" i="2" s="1"/>
  <c r="O145" i="2"/>
  <c r="V145" i="2" s="1"/>
  <c r="P145" i="2"/>
  <c r="W145" i="2" s="1"/>
  <c r="S145" i="2"/>
  <c r="Z145" i="2" s="1"/>
  <c r="Q145" i="2"/>
  <c r="X145" i="2" s="1"/>
  <c r="R145" i="2"/>
  <c r="Y145" i="2" s="1"/>
  <c r="AC145" i="2" l="1"/>
  <c r="E145" i="2" s="1"/>
  <c r="AE145" i="2"/>
  <c r="F145" i="2" s="1"/>
  <c r="K146" i="2" s="1"/>
  <c r="J146" i="2" l="1"/>
  <c r="I146" i="2"/>
  <c r="H146" i="2"/>
  <c r="L146" i="2"/>
  <c r="O146" i="2" l="1"/>
  <c r="V146" i="2" s="1"/>
  <c r="T146" i="2"/>
  <c r="AA146" i="2" s="1"/>
  <c r="S146" i="2"/>
  <c r="Z146" i="2" s="1"/>
  <c r="P146" i="2"/>
  <c r="W146" i="2" s="1"/>
  <c r="Q146" i="2"/>
  <c r="X146" i="2" s="1"/>
  <c r="R146" i="2"/>
  <c r="Y146" i="2" s="1"/>
  <c r="AC146" i="2" l="1"/>
  <c r="E146" i="2" s="1"/>
  <c r="AE146" i="2"/>
  <c r="F146" i="2" s="1"/>
  <c r="K147" i="2" s="1"/>
  <c r="J147" i="2" l="1"/>
  <c r="I147" i="2"/>
  <c r="L147" i="2"/>
  <c r="H147" i="2"/>
  <c r="Q147" i="2" l="1"/>
  <c r="X147" i="2" s="1"/>
  <c r="T147" i="2"/>
  <c r="AA147" i="2" s="1"/>
  <c r="O147" i="2"/>
  <c r="V147" i="2" s="1"/>
  <c r="S147" i="2"/>
  <c r="Z147" i="2" s="1"/>
  <c r="P147" i="2"/>
  <c r="W147" i="2" s="1"/>
  <c r="R147" i="2"/>
  <c r="Y147" i="2" s="1"/>
  <c r="AC147" i="2" l="1"/>
  <c r="E147" i="2" s="1"/>
  <c r="AE147" i="2"/>
  <c r="F147" i="2" s="1"/>
  <c r="K148" i="2" s="1"/>
  <c r="I148" i="2" l="1"/>
  <c r="J148" i="2"/>
  <c r="H148" i="2"/>
  <c r="L148" i="2"/>
  <c r="S148" i="2" l="1"/>
  <c r="Z148" i="2" s="1"/>
  <c r="P148" i="2"/>
  <c r="W148" i="2" s="1"/>
  <c r="O148" i="2"/>
  <c r="V148" i="2" s="1"/>
  <c r="T148" i="2"/>
  <c r="AA148" i="2" s="1"/>
  <c r="Q148" i="2"/>
  <c r="X148" i="2" s="1"/>
  <c r="R148" i="2"/>
  <c r="Y148" i="2" s="1"/>
  <c r="AE148" i="2" l="1"/>
  <c r="F148" i="2" s="1"/>
  <c r="K149" i="2" s="1"/>
  <c r="AC148" i="2"/>
  <c r="E148" i="2" s="1"/>
  <c r="J149" i="2" l="1"/>
  <c r="L149" i="2"/>
  <c r="I149" i="2"/>
  <c r="H149" i="2"/>
  <c r="R149" i="2" l="1"/>
  <c r="Y149" i="2" s="1"/>
  <c r="T149" i="2"/>
  <c r="AA149" i="2" s="1"/>
  <c r="O149" i="2"/>
  <c r="V149" i="2" s="1"/>
  <c r="P149" i="2"/>
  <c r="W149" i="2" s="1"/>
  <c r="S149" i="2"/>
  <c r="Z149" i="2" s="1"/>
  <c r="Q149" i="2"/>
  <c r="X149" i="2" s="1"/>
  <c r="AE149" i="2" l="1"/>
  <c r="F149" i="2" s="1"/>
  <c r="K150" i="2" s="1"/>
  <c r="AC149" i="2"/>
  <c r="E149" i="2" s="1"/>
  <c r="J150" i="2" l="1"/>
  <c r="H150" i="2"/>
  <c r="I150" i="2"/>
  <c r="L150" i="2"/>
  <c r="T150" i="2" l="1"/>
  <c r="AA150" i="2" s="1"/>
  <c r="O150" i="2"/>
  <c r="V150" i="2" s="1"/>
  <c r="R150" i="2"/>
  <c r="Y150" i="2" s="1"/>
  <c r="S150" i="2"/>
  <c r="Z150" i="2" s="1"/>
  <c r="P150" i="2"/>
  <c r="W150" i="2" s="1"/>
  <c r="Q150" i="2"/>
  <c r="X150" i="2" s="1"/>
  <c r="AE150" i="2" l="1"/>
  <c r="F150" i="2" s="1"/>
  <c r="K151" i="2" s="1"/>
  <c r="AC150" i="2"/>
  <c r="E150" i="2" s="1"/>
  <c r="J151" i="2" l="1"/>
  <c r="I151" i="2"/>
  <c r="L151" i="2"/>
  <c r="H151" i="2"/>
  <c r="R151" i="2" l="1"/>
  <c r="Y151" i="2" s="1"/>
  <c r="S151" i="2"/>
  <c r="Z151" i="2" s="1"/>
  <c r="O151" i="2"/>
  <c r="V151" i="2" s="1"/>
  <c r="T151" i="2"/>
  <c r="AA151" i="2" s="1"/>
  <c r="P151" i="2"/>
  <c r="W151" i="2" s="1"/>
  <c r="Q151" i="2"/>
  <c r="X151" i="2" s="1"/>
  <c r="AC151" i="2" l="1"/>
  <c r="E151" i="2" s="1"/>
  <c r="AE151" i="2"/>
  <c r="F151" i="2" s="1"/>
  <c r="K152" i="2" s="1"/>
  <c r="J152" i="2" l="1"/>
  <c r="L152" i="2"/>
  <c r="H152" i="2"/>
  <c r="I152" i="2"/>
  <c r="T152" i="2" l="1"/>
  <c r="AA152" i="2" s="1"/>
  <c r="O152" i="2"/>
  <c r="V152" i="2" s="1"/>
  <c r="P152" i="2"/>
  <c r="W152" i="2" s="1"/>
  <c r="S152" i="2"/>
  <c r="Z152" i="2" s="1"/>
  <c r="Q152" i="2"/>
  <c r="X152" i="2" s="1"/>
  <c r="R152" i="2"/>
  <c r="Y152" i="2" s="1"/>
  <c r="AC152" i="2" l="1"/>
  <c r="E152" i="2" s="1"/>
  <c r="AE152" i="2"/>
  <c r="F152" i="2" s="1"/>
  <c r="K153" i="2" s="1"/>
  <c r="J153" i="2" l="1"/>
  <c r="I153" i="2"/>
  <c r="H153" i="2"/>
  <c r="L153" i="2"/>
  <c r="P153" i="2" l="1"/>
  <c r="W153" i="2" s="1"/>
  <c r="S153" i="2"/>
  <c r="Z153" i="2" s="1"/>
  <c r="O153" i="2"/>
  <c r="V153" i="2" s="1"/>
  <c r="T153" i="2"/>
  <c r="AA153" i="2" s="1"/>
  <c r="Q153" i="2"/>
  <c r="X153" i="2" s="1"/>
  <c r="R153" i="2"/>
  <c r="Y153" i="2" s="1"/>
  <c r="AE153" i="2" l="1"/>
  <c r="F153" i="2" s="1"/>
  <c r="K154" i="2" s="1"/>
  <c r="AC153" i="2"/>
  <c r="E153" i="2" s="1"/>
  <c r="J154" i="2" l="1"/>
  <c r="H154" i="2"/>
  <c r="I154" i="2"/>
  <c r="L154" i="2"/>
  <c r="R154" i="2" l="1"/>
  <c r="Y154" i="2" s="1"/>
  <c r="T154" i="2"/>
  <c r="AA154" i="2" s="1"/>
  <c r="O154" i="2"/>
  <c r="V154" i="2" s="1"/>
  <c r="S154" i="2"/>
  <c r="Z154" i="2" s="1"/>
  <c r="P154" i="2"/>
  <c r="W154" i="2" s="1"/>
  <c r="Q154" i="2"/>
  <c r="X154" i="2" s="1"/>
  <c r="AE154" i="2" l="1"/>
  <c r="F154" i="2" s="1"/>
  <c r="K155" i="2" s="1"/>
  <c r="AC154" i="2"/>
  <c r="E154" i="2" s="1"/>
  <c r="J155" i="2" l="1"/>
  <c r="H155" i="2"/>
  <c r="L155" i="2"/>
  <c r="I155" i="2"/>
  <c r="T155" i="2" l="1"/>
  <c r="AA155" i="2" s="1"/>
  <c r="O155" i="2"/>
  <c r="V155" i="2" s="1"/>
  <c r="R155" i="2"/>
  <c r="Y155" i="2" s="1"/>
  <c r="P155" i="2"/>
  <c r="W155" i="2" s="1"/>
  <c r="S155" i="2"/>
  <c r="Z155" i="2" s="1"/>
  <c r="Q155" i="2"/>
  <c r="X155" i="2" s="1"/>
  <c r="AE155" i="2" l="1"/>
  <c r="F155" i="2" s="1"/>
  <c r="K156" i="2" s="1"/>
  <c r="AC155" i="2"/>
  <c r="E155" i="2" s="1"/>
  <c r="J156" i="2" l="1"/>
  <c r="H156" i="2"/>
  <c r="I156" i="2"/>
  <c r="L156" i="2"/>
  <c r="R156" i="2" l="1"/>
  <c r="Y156" i="2" s="1"/>
  <c r="P156" i="2"/>
  <c r="W156" i="2" s="1"/>
  <c r="S156" i="2"/>
  <c r="Z156" i="2" s="1"/>
  <c r="O156" i="2"/>
  <c r="V156" i="2" s="1"/>
  <c r="T156" i="2"/>
  <c r="AA156" i="2" s="1"/>
  <c r="Q156" i="2"/>
  <c r="X156" i="2" s="1"/>
  <c r="AC156" i="2" l="1"/>
  <c r="E156" i="2" s="1"/>
  <c r="AE156" i="2"/>
  <c r="F156" i="2" s="1"/>
  <c r="K157" i="2" s="1"/>
  <c r="J157" i="2" l="1"/>
  <c r="L157" i="2"/>
  <c r="I157" i="2"/>
  <c r="H157" i="2"/>
  <c r="S157" i="2" l="1"/>
  <c r="Z157" i="2" s="1"/>
  <c r="T157" i="2"/>
  <c r="AA157" i="2" s="1"/>
  <c r="O157" i="2"/>
  <c r="V157" i="2" s="1"/>
  <c r="P157" i="2"/>
  <c r="W157" i="2" s="1"/>
  <c r="Q157" i="2"/>
  <c r="X157" i="2" s="1"/>
  <c r="R157" i="2"/>
  <c r="Y157" i="2" s="1"/>
  <c r="AE157" i="2" l="1"/>
  <c r="F157" i="2" s="1"/>
  <c r="K158" i="2" s="1"/>
  <c r="AC157" i="2"/>
  <c r="E157" i="2" s="1"/>
  <c r="L158" i="2" l="1"/>
  <c r="J158" i="2"/>
  <c r="I158" i="2"/>
  <c r="H158" i="2"/>
  <c r="R158" i="2" l="1"/>
  <c r="Y158" i="2" s="1"/>
  <c r="P158" i="2"/>
  <c r="W158" i="2" s="1"/>
  <c r="O158" i="2"/>
  <c r="V158" i="2" s="1"/>
  <c r="T158" i="2"/>
  <c r="AA158" i="2" s="1"/>
  <c r="Q158" i="2"/>
  <c r="X158" i="2" s="1"/>
  <c r="S158" i="2"/>
  <c r="Z158" i="2" s="1"/>
  <c r="AC158" i="2" l="1"/>
  <c r="E158" i="2" s="1"/>
  <c r="AE158" i="2"/>
  <c r="F158" i="2" s="1"/>
  <c r="K159" i="2" s="1"/>
  <c r="I159" i="2" l="1"/>
  <c r="J159" i="2"/>
  <c r="L159" i="2"/>
  <c r="H159" i="2"/>
  <c r="P159" i="2" l="1"/>
  <c r="W159" i="2" s="1"/>
  <c r="O159" i="2"/>
  <c r="V159" i="2" s="1"/>
  <c r="T159" i="2"/>
  <c r="AA159" i="2" s="1"/>
  <c r="S159" i="2"/>
  <c r="Z159" i="2" s="1"/>
  <c r="Q159" i="2"/>
  <c r="X159" i="2" s="1"/>
  <c r="R159" i="2"/>
  <c r="Y159" i="2" s="1"/>
  <c r="AE159" i="2" l="1"/>
  <c r="F159" i="2" s="1"/>
  <c r="K160" i="2" s="1"/>
  <c r="AC159" i="2"/>
  <c r="E159" i="2" s="1"/>
  <c r="I160" i="2" l="1"/>
  <c r="J160" i="2"/>
  <c r="H160" i="2"/>
  <c r="L160" i="2"/>
  <c r="T160" i="2" l="1"/>
  <c r="AA160" i="2" s="1"/>
  <c r="O160" i="2"/>
  <c r="V160" i="2" s="1"/>
  <c r="R160" i="2"/>
  <c r="Y160" i="2" s="1"/>
  <c r="S160" i="2"/>
  <c r="Z160" i="2" s="1"/>
  <c r="Q160" i="2"/>
  <c r="X160" i="2" s="1"/>
  <c r="P160" i="2"/>
  <c r="W160" i="2" s="1"/>
  <c r="AC160" i="2" l="1"/>
  <c r="E160" i="2" s="1"/>
  <c r="AE160" i="2"/>
  <c r="F160" i="2" s="1"/>
  <c r="K161" i="2" s="1"/>
  <c r="I161" i="2" l="1"/>
  <c r="L161" i="2"/>
  <c r="H161" i="2"/>
  <c r="J161" i="2"/>
  <c r="R161" i="2" l="1"/>
  <c r="Y161" i="2" s="1"/>
  <c r="Q161" i="2"/>
  <c r="X161" i="2" s="1"/>
  <c r="T161" i="2"/>
  <c r="AA161" i="2" s="1"/>
  <c r="O161" i="2"/>
  <c r="V161" i="2" s="1"/>
  <c r="S161" i="2"/>
  <c r="Z161" i="2" s="1"/>
  <c r="P161" i="2"/>
  <c r="W161" i="2" s="1"/>
  <c r="AE161" i="2" l="1"/>
  <c r="F161" i="2" s="1"/>
  <c r="K162" i="2" s="1"/>
  <c r="AC161" i="2"/>
  <c r="E161" i="2" s="1"/>
  <c r="I162" i="2" l="1"/>
  <c r="J162" i="2"/>
  <c r="H162" i="2"/>
  <c r="L162" i="2"/>
  <c r="R162" i="2" l="1"/>
  <c r="Y162" i="2" s="1"/>
  <c r="S162" i="2"/>
  <c r="Z162" i="2" s="1"/>
  <c r="T162" i="2"/>
  <c r="AA162" i="2" s="1"/>
  <c r="O162" i="2"/>
  <c r="V162" i="2" s="1"/>
  <c r="Q162" i="2"/>
  <c r="X162" i="2" s="1"/>
  <c r="P162" i="2"/>
  <c r="W162" i="2" s="1"/>
  <c r="AE162" i="2" l="1"/>
  <c r="F162" i="2" s="1"/>
  <c r="K163" i="2" s="1"/>
  <c r="AC162" i="2"/>
  <c r="E162" i="2" s="1"/>
  <c r="I163" i="2" l="1"/>
  <c r="L163" i="2"/>
  <c r="H163" i="2"/>
  <c r="J163" i="2"/>
  <c r="R163" i="2" l="1"/>
  <c r="Y163" i="2" s="1"/>
  <c r="S163" i="2"/>
  <c r="Z163" i="2" s="1"/>
  <c r="Q163" i="2"/>
  <c r="X163" i="2" s="1"/>
  <c r="T163" i="2"/>
  <c r="AA163" i="2" s="1"/>
  <c r="O163" i="2"/>
  <c r="V163" i="2" s="1"/>
  <c r="P163" i="2"/>
  <c r="W163" i="2" s="1"/>
  <c r="AE163" i="2" l="1"/>
  <c r="F163" i="2" s="1"/>
  <c r="K164" i="2" s="1"/>
  <c r="AC163" i="2"/>
  <c r="E163" i="2" s="1"/>
  <c r="I164" i="2" l="1"/>
  <c r="J164" i="2"/>
  <c r="H164" i="2"/>
  <c r="L164" i="2"/>
  <c r="R164" i="2" l="1"/>
  <c r="Y164" i="2" s="1"/>
  <c r="Q164" i="2"/>
  <c r="X164" i="2" s="1"/>
  <c r="S164" i="2"/>
  <c r="Z164" i="2" s="1"/>
  <c r="T164" i="2"/>
  <c r="AA164" i="2" s="1"/>
  <c r="O164" i="2"/>
  <c r="V164" i="2" s="1"/>
  <c r="P164" i="2"/>
  <c r="W164" i="2" s="1"/>
  <c r="AC164" i="2" l="1"/>
  <c r="E164" i="2" s="1"/>
  <c r="AE164" i="2"/>
  <c r="F164" i="2" s="1"/>
  <c r="K165" i="2" s="1"/>
  <c r="I165" i="2" l="1"/>
  <c r="L165" i="2"/>
  <c r="H165" i="2"/>
  <c r="J165" i="2"/>
  <c r="P165" i="2" l="1"/>
  <c r="W165" i="2" s="1"/>
  <c r="Q165" i="2"/>
  <c r="X165" i="2" s="1"/>
  <c r="O165" i="2"/>
  <c r="V165" i="2" s="1"/>
  <c r="T165" i="2"/>
  <c r="AA165" i="2" s="1"/>
  <c r="S165" i="2"/>
  <c r="Z165" i="2" s="1"/>
  <c r="R165" i="2"/>
  <c r="Y165" i="2" s="1"/>
  <c r="AE165" i="2" l="1"/>
  <c r="F165" i="2" s="1"/>
  <c r="K166" i="2" s="1"/>
  <c r="AC165" i="2"/>
  <c r="E165" i="2" s="1"/>
  <c r="L166" i="2" l="1"/>
  <c r="H166" i="2"/>
  <c r="I166" i="2"/>
  <c r="J166" i="2"/>
  <c r="T166" i="2" l="1"/>
  <c r="AA166" i="2" s="1"/>
  <c r="O166" i="2"/>
  <c r="V166" i="2" s="1"/>
  <c r="R166" i="2"/>
  <c r="Y166" i="2" s="1"/>
  <c r="Q166" i="2"/>
  <c r="X166" i="2" s="1"/>
  <c r="P166" i="2"/>
  <c r="W166" i="2" s="1"/>
  <c r="S166" i="2"/>
  <c r="Z166" i="2" s="1"/>
  <c r="AC166" i="2" l="1"/>
  <c r="E166" i="2" s="1"/>
  <c r="AE166" i="2"/>
  <c r="F166" i="2" s="1"/>
  <c r="K167" i="2" s="1"/>
  <c r="L167" i="2" l="1"/>
  <c r="H167" i="2"/>
  <c r="J167" i="2"/>
  <c r="I167" i="2"/>
  <c r="P167" i="2" l="1"/>
  <c r="W167" i="2" s="1"/>
  <c r="Q167" i="2"/>
  <c r="X167" i="2" s="1"/>
  <c r="O167" i="2"/>
  <c r="V167" i="2" s="1"/>
  <c r="T167" i="2"/>
  <c r="AA167" i="2" s="1"/>
  <c r="S167" i="2"/>
  <c r="Z167" i="2" s="1"/>
  <c r="R167" i="2"/>
  <c r="Y167" i="2" s="1"/>
  <c r="AC167" i="2" l="1"/>
  <c r="E167" i="2" s="1"/>
  <c r="AE167" i="2"/>
  <c r="F167" i="2" s="1"/>
  <c r="K168" i="2" s="1"/>
  <c r="L168" i="2" l="1"/>
  <c r="I168" i="2"/>
  <c r="H168" i="2"/>
  <c r="J168" i="2"/>
  <c r="Q168" i="2" l="1"/>
  <c r="X168" i="2" s="1"/>
  <c r="T168" i="2"/>
  <c r="AA168" i="2" s="1"/>
  <c r="O168" i="2"/>
  <c r="V168" i="2" s="1"/>
  <c r="P168" i="2"/>
  <c r="W168" i="2" s="1"/>
  <c r="S168" i="2"/>
  <c r="Z168" i="2" s="1"/>
  <c r="R168" i="2"/>
  <c r="Y168" i="2" s="1"/>
  <c r="AE168" i="2" l="1"/>
  <c r="F168" i="2" s="1"/>
  <c r="K169" i="2" s="1"/>
  <c r="AC168" i="2"/>
  <c r="E168" i="2" s="1"/>
  <c r="L169" i="2" l="1"/>
  <c r="I169" i="2"/>
  <c r="J169" i="2"/>
  <c r="H169" i="2"/>
  <c r="R169" i="2" l="1"/>
  <c r="Y169" i="2" s="1"/>
  <c r="P169" i="2"/>
  <c r="W169" i="2" s="1"/>
  <c r="O169" i="2"/>
  <c r="V169" i="2" s="1"/>
  <c r="T169" i="2"/>
  <c r="AA169" i="2" s="1"/>
  <c r="Q169" i="2"/>
  <c r="X169" i="2" s="1"/>
  <c r="S169" i="2"/>
  <c r="Z169" i="2" s="1"/>
  <c r="AC169" i="2" l="1"/>
  <c r="E169" i="2" s="1"/>
  <c r="AE169" i="2"/>
  <c r="F169" i="2" s="1"/>
  <c r="K170" i="2" s="1"/>
  <c r="L170" i="2" l="1"/>
  <c r="H170" i="2"/>
  <c r="I170" i="2"/>
  <c r="J170" i="2"/>
  <c r="P170" i="2" l="1"/>
  <c r="W170" i="2" s="1"/>
  <c r="Q170" i="2"/>
  <c r="X170" i="2" s="1"/>
  <c r="O170" i="2"/>
  <c r="V170" i="2" s="1"/>
  <c r="T170" i="2"/>
  <c r="AA170" i="2" s="1"/>
  <c r="S170" i="2"/>
  <c r="Z170" i="2" s="1"/>
  <c r="R170" i="2"/>
  <c r="Y170" i="2" s="1"/>
  <c r="AC170" i="2" l="1"/>
  <c r="E170" i="2" s="1"/>
  <c r="AE170" i="2"/>
  <c r="F170" i="2" s="1"/>
  <c r="K171" i="2" s="1"/>
  <c r="L171" i="2" l="1"/>
  <c r="J171" i="2"/>
  <c r="H171" i="2"/>
  <c r="I171" i="2"/>
  <c r="R171" i="2" l="1"/>
  <c r="Y171" i="2" s="1"/>
  <c r="P171" i="2"/>
  <c r="W171" i="2" s="1"/>
  <c r="T171" i="2"/>
  <c r="AA171" i="2" s="1"/>
  <c r="O171" i="2"/>
  <c r="V171" i="2" s="1"/>
  <c r="Q171" i="2"/>
  <c r="X171" i="2" s="1"/>
  <c r="S171" i="2"/>
  <c r="Z171" i="2" s="1"/>
  <c r="AE171" i="2" l="1"/>
  <c r="F171" i="2" s="1"/>
  <c r="K172" i="2" s="1"/>
  <c r="AC171" i="2"/>
  <c r="E171" i="2" s="1"/>
  <c r="J172" i="2" l="1"/>
  <c r="L172" i="2"/>
  <c r="I172" i="2"/>
  <c r="H172" i="2"/>
  <c r="R172" i="2" l="1"/>
  <c r="Y172" i="2" s="1"/>
  <c r="S172" i="2"/>
  <c r="Z172" i="2" s="1"/>
  <c r="O172" i="2"/>
  <c r="V172" i="2" s="1"/>
  <c r="T172" i="2"/>
  <c r="AA172" i="2" s="1"/>
  <c r="P172" i="2"/>
  <c r="W172" i="2" s="1"/>
  <c r="Q172" i="2"/>
  <c r="X172" i="2" s="1"/>
  <c r="AE172" i="2" l="1"/>
  <c r="F172" i="2" s="1"/>
  <c r="K173" i="2" s="1"/>
  <c r="AC172" i="2"/>
  <c r="E172" i="2" s="1"/>
  <c r="J173" i="2" l="1"/>
  <c r="I173" i="2"/>
  <c r="L173" i="2"/>
  <c r="H173" i="2"/>
  <c r="R173" i="2" l="1"/>
  <c r="Y173" i="2" s="1"/>
  <c r="S173" i="2"/>
  <c r="Z173" i="2" s="1"/>
  <c r="O173" i="2"/>
  <c r="V173" i="2" s="1"/>
  <c r="T173" i="2"/>
  <c r="AA173" i="2" s="1"/>
  <c r="P173" i="2"/>
  <c r="W173" i="2" s="1"/>
  <c r="Q173" i="2"/>
  <c r="X173" i="2" s="1"/>
  <c r="AE173" i="2" l="1"/>
  <c r="F173" i="2" s="1"/>
  <c r="K174" i="2" s="1"/>
  <c r="AC173" i="2"/>
  <c r="E173" i="2" s="1"/>
  <c r="I174" i="2" l="1"/>
  <c r="J174" i="2"/>
  <c r="L174" i="2"/>
  <c r="H174" i="2"/>
  <c r="R174" i="2" l="1"/>
  <c r="Y174" i="2" s="1"/>
  <c r="Q174" i="2"/>
  <c r="X174" i="2" s="1"/>
  <c r="O174" i="2"/>
  <c r="V174" i="2" s="1"/>
  <c r="T174" i="2"/>
  <c r="AA174" i="2" s="1"/>
  <c r="S174" i="2"/>
  <c r="Z174" i="2" s="1"/>
  <c r="P174" i="2"/>
  <c r="W174" i="2" s="1"/>
  <c r="AE174" i="2" l="1"/>
  <c r="F174" i="2" s="1"/>
  <c r="K175" i="2" s="1"/>
  <c r="AC174" i="2"/>
  <c r="E174" i="2" s="1"/>
  <c r="I175" i="2" l="1"/>
  <c r="H175" i="2"/>
  <c r="L175" i="2"/>
  <c r="J175" i="2"/>
  <c r="R175" i="2" l="1"/>
  <c r="Y175" i="2" s="1"/>
  <c r="Q175" i="2"/>
  <c r="X175" i="2" s="1"/>
  <c r="S175" i="2"/>
  <c r="Z175" i="2" s="1"/>
  <c r="T175" i="2"/>
  <c r="AA175" i="2" s="1"/>
  <c r="O175" i="2"/>
  <c r="V175" i="2" s="1"/>
  <c r="P175" i="2"/>
  <c r="W175" i="2" s="1"/>
  <c r="AE175" i="2" l="1"/>
  <c r="F175" i="2" s="1"/>
  <c r="K176" i="2" s="1"/>
  <c r="AC175" i="2"/>
  <c r="E175" i="2" s="1"/>
  <c r="J176" i="2" l="1"/>
  <c r="I176" i="2"/>
  <c r="H176" i="2"/>
  <c r="L176" i="2"/>
  <c r="R176" i="2" l="1"/>
  <c r="Y176" i="2" s="1"/>
  <c r="P176" i="2"/>
  <c r="W176" i="2" s="1"/>
  <c r="S176" i="2"/>
  <c r="Z176" i="2" s="1"/>
  <c r="O176" i="2"/>
  <c r="V176" i="2" s="1"/>
  <c r="T176" i="2"/>
  <c r="AA176" i="2" s="1"/>
  <c r="Q176" i="2"/>
  <c r="X176" i="2" s="1"/>
  <c r="AC176" i="2" l="1"/>
  <c r="E176" i="2" s="1"/>
  <c r="AE176" i="2"/>
  <c r="F176" i="2" s="1"/>
  <c r="K177" i="2" s="1"/>
  <c r="J177" i="2" l="1"/>
  <c r="I177" i="2"/>
  <c r="L177" i="2"/>
  <c r="H177" i="2"/>
  <c r="T177" i="2" l="1"/>
  <c r="AA177" i="2" s="1"/>
  <c r="O177" i="2"/>
  <c r="V177" i="2" s="1"/>
  <c r="S177" i="2"/>
  <c r="Z177" i="2" s="1"/>
  <c r="P177" i="2"/>
  <c r="W177" i="2" s="1"/>
  <c r="Q177" i="2"/>
  <c r="X177" i="2" s="1"/>
  <c r="R177" i="2"/>
  <c r="Y177" i="2" s="1"/>
  <c r="AC177" i="2" l="1"/>
  <c r="E177" i="2" s="1"/>
  <c r="AE177" i="2"/>
  <c r="F177" i="2" s="1"/>
  <c r="K178" i="2" s="1"/>
  <c r="J178" i="2" l="1"/>
  <c r="I178" i="2"/>
  <c r="L178" i="2"/>
  <c r="H178" i="2"/>
  <c r="O178" i="2" l="1"/>
  <c r="V178" i="2" s="1"/>
  <c r="T178" i="2"/>
  <c r="AA178" i="2" s="1"/>
  <c r="S178" i="2"/>
  <c r="Z178" i="2" s="1"/>
  <c r="P178" i="2"/>
  <c r="W178" i="2" s="1"/>
  <c r="Q178" i="2"/>
  <c r="X178" i="2" s="1"/>
  <c r="R178" i="2"/>
  <c r="Y178" i="2" s="1"/>
  <c r="AE178" i="2" l="1"/>
  <c r="F178" i="2" s="1"/>
  <c r="K179" i="2" s="1"/>
  <c r="AC178" i="2"/>
  <c r="E178" i="2" s="1"/>
  <c r="J179" i="2" l="1"/>
  <c r="L179" i="2"/>
  <c r="H179" i="2"/>
  <c r="I179" i="2"/>
  <c r="R179" i="2" l="1"/>
  <c r="Y179" i="2" s="1"/>
  <c r="P179" i="2"/>
  <c r="W179" i="2" s="1"/>
  <c r="T179" i="2"/>
  <c r="AA179" i="2" s="1"/>
  <c r="O179" i="2"/>
  <c r="V179" i="2" s="1"/>
  <c r="S179" i="2"/>
  <c r="Z179" i="2" s="1"/>
  <c r="Q179" i="2"/>
  <c r="X179" i="2" s="1"/>
  <c r="AE179" i="2" l="1"/>
  <c r="F179" i="2" s="1"/>
  <c r="K180" i="2" s="1"/>
  <c r="AC179" i="2"/>
  <c r="E179" i="2" s="1"/>
  <c r="J180" i="2" l="1"/>
  <c r="I180" i="2"/>
  <c r="H180" i="2"/>
  <c r="L180" i="2"/>
  <c r="T180" i="2" l="1"/>
  <c r="AA180" i="2" s="1"/>
  <c r="O180" i="2"/>
  <c r="V180" i="2" s="1"/>
  <c r="R180" i="2"/>
  <c r="Y180" i="2" s="1"/>
  <c r="S180" i="2"/>
  <c r="Z180" i="2" s="1"/>
  <c r="P180" i="2"/>
  <c r="W180" i="2" s="1"/>
  <c r="Q180" i="2"/>
  <c r="X180" i="2" s="1"/>
  <c r="AE180" i="2" l="1"/>
  <c r="F180" i="2" s="1"/>
  <c r="K181" i="2" s="1"/>
  <c r="AC180" i="2"/>
  <c r="E180" i="2" s="1"/>
  <c r="J181" i="2" l="1"/>
  <c r="H181" i="2"/>
  <c r="I181" i="2"/>
  <c r="L181" i="2"/>
  <c r="R181" i="2" l="1"/>
  <c r="Y181" i="2" s="1"/>
  <c r="S181" i="2"/>
  <c r="Z181" i="2" s="1"/>
  <c r="P181" i="2"/>
  <c r="W181" i="2" s="1"/>
  <c r="O181" i="2"/>
  <c r="V181" i="2" s="1"/>
  <c r="T181" i="2"/>
  <c r="AA181" i="2" s="1"/>
  <c r="Q181" i="2"/>
  <c r="X181" i="2" s="1"/>
  <c r="AE181" i="2" l="1"/>
  <c r="F181" i="2" s="1"/>
  <c r="K182" i="2" s="1"/>
  <c r="AC181" i="2"/>
  <c r="E181" i="2" s="1"/>
  <c r="J182" i="2" l="1"/>
  <c r="H182" i="2"/>
  <c r="L182" i="2"/>
  <c r="I182" i="2"/>
  <c r="R182" i="2" l="1"/>
  <c r="Y182" i="2" s="1"/>
  <c r="S182" i="2"/>
  <c r="Z182" i="2" s="1"/>
  <c r="P182" i="2"/>
  <c r="W182" i="2" s="1"/>
  <c r="T182" i="2"/>
  <c r="AA182" i="2" s="1"/>
  <c r="O182" i="2"/>
  <c r="V182" i="2" s="1"/>
  <c r="Q182" i="2"/>
  <c r="X182" i="2" s="1"/>
  <c r="AE182" i="2" l="1"/>
  <c r="F182" i="2" s="1"/>
  <c r="K183" i="2" s="1"/>
  <c r="AC182" i="2"/>
  <c r="E182" i="2" s="1"/>
  <c r="J183" i="2" l="1"/>
  <c r="H183" i="2"/>
  <c r="L183" i="2"/>
  <c r="I183" i="2"/>
  <c r="R183" i="2" l="1"/>
  <c r="Y183" i="2" s="1"/>
  <c r="O183" i="2"/>
  <c r="V183" i="2" s="1"/>
  <c r="T183" i="2"/>
  <c r="AA183" i="2" s="1"/>
  <c r="P183" i="2"/>
  <c r="W183" i="2" s="1"/>
  <c r="S183" i="2"/>
  <c r="Z183" i="2" s="1"/>
  <c r="Q183" i="2"/>
  <c r="X183" i="2" s="1"/>
  <c r="AE183" i="2" l="1"/>
  <c r="F183" i="2" s="1"/>
  <c r="K184" i="2" s="1"/>
  <c r="AC183" i="2"/>
  <c r="E183" i="2" s="1"/>
  <c r="J184" i="2" l="1"/>
  <c r="H184" i="2"/>
  <c r="I184" i="2"/>
  <c r="L184" i="2"/>
  <c r="R184" i="2" l="1"/>
  <c r="Y184" i="2" s="1"/>
  <c r="T184" i="2"/>
  <c r="AA184" i="2" s="1"/>
  <c r="O184" i="2"/>
  <c r="V184" i="2" s="1"/>
  <c r="S184" i="2"/>
  <c r="Z184" i="2" s="1"/>
  <c r="P184" i="2"/>
  <c r="W184" i="2" s="1"/>
  <c r="Q184" i="2"/>
  <c r="X184" i="2" s="1"/>
  <c r="AE184" i="2" l="1"/>
  <c r="F184" i="2" s="1"/>
  <c r="K185" i="2" s="1"/>
  <c r="AC184" i="2"/>
  <c r="E184" i="2" s="1"/>
  <c r="H185" i="2" l="1"/>
  <c r="J185" i="2"/>
  <c r="I185" i="2"/>
  <c r="L185" i="2"/>
  <c r="R185" i="2" l="1"/>
  <c r="Y185" i="2" s="1"/>
  <c r="Q185" i="2"/>
  <c r="X185" i="2" s="1"/>
  <c r="S185" i="2"/>
  <c r="Z185" i="2" s="1"/>
  <c r="P185" i="2"/>
  <c r="W185" i="2" s="1"/>
  <c r="T185" i="2"/>
  <c r="AA185" i="2" s="1"/>
  <c r="O185" i="2"/>
  <c r="V185" i="2" s="1"/>
  <c r="AE185" i="2" l="1"/>
  <c r="F185" i="2" s="1"/>
  <c r="K186" i="2" s="1"/>
  <c r="AC185" i="2"/>
  <c r="E185" i="2" s="1"/>
  <c r="H186" i="2" l="1"/>
  <c r="J186" i="2"/>
  <c r="L186" i="2"/>
  <c r="I186" i="2"/>
  <c r="R186" i="2" l="1"/>
  <c r="Y186" i="2" s="1"/>
  <c r="Q186" i="2"/>
  <c r="X186" i="2" s="1"/>
  <c r="P186" i="2"/>
  <c r="W186" i="2" s="1"/>
  <c r="S186" i="2"/>
  <c r="Z186" i="2" s="1"/>
  <c r="T186" i="2"/>
  <c r="AA186" i="2" s="1"/>
  <c r="O186" i="2"/>
  <c r="V186" i="2" s="1"/>
  <c r="AE186" i="2" l="1"/>
  <c r="F186" i="2" s="1"/>
  <c r="K187" i="2" s="1"/>
  <c r="AC186" i="2"/>
  <c r="E186" i="2" s="1"/>
  <c r="J187" i="2" l="1"/>
  <c r="I187" i="2"/>
  <c r="L187" i="2"/>
  <c r="H187" i="2"/>
  <c r="R187" i="2" l="1"/>
  <c r="Y187" i="2" s="1"/>
  <c r="S187" i="2"/>
  <c r="Z187" i="2" s="1"/>
  <c r="O187" i="2"/>
  <c r="V187" i="2" s="1"/>
  <c r="T187" i="2"/>
  <c r="AA187" i="2" s="1"/>
  <c r="P187" i="2"/>
  <c r="W187" i="2" s="1"/>
  <c r="Q187" i="2"/>
  <c r="X187" i="2" s="1"/>
  <c r="AC187" i="2" l="1"/>
  <c r="E187" i="2" s="1"/>
  <c r="AE187" i="2"/>
  <c r="F187" i="2" s="1"/>
  <c r="K188" i="2" s="1"/>
  <c r="H188" i="2" l="1"/>
  <c r="J188" i="2"/>
  <c r="L188" i="2"/>
  <c r="I188" i="2"/>
  <c r="P188" i="2" l="1"/>
  <c r="W188" i="2" s="1"/>
  <c r="S188" i="2"/>
  <c r="Z188" i="2" s="1"/>
  <c r="Q188" i="2"/>
  <c r="X188" i="2" s="1"/>
  <c r="T188" i="2"/>
  <c r="AA188" i="2" s="1"/>
  <c r="O188" i="2"/>
  <c r="V188" i="2" s="1"/>
  <c r="R188" i="2"/>
  <c r="Y188" i="2" s="1"/>
  <c r="AE188" i="2" l="1"/>
  <c r="F188" i="2" s="1"/>
  <c r="K189" i="2" s="1"/>
  <c r="AC188" i="2"/>
  <c r="E188" i="2" s="1"/>
  <c r="I189" i="2" l="1"/>
  <c r="L189" i="2"/>
  <c r="H189" i="2"/>
  <c r="J189" i="2"/>
  <c r="R189" i="2" l="1"/>
  <c r="Y189" i="2" s="1"/>
  <c r="S189" i="2"/>
  <c r="Z189" i="2" s="1"/>
  <c r="Q189" i="2"/>
  <c r="X189" i="2" s="1"/>
  <c r="T189" i="2"/>
  <c r="AA189" i="2" s="1"/>
  <c r="O189" i="2"/>
  <c r="V189" i="2" s="1"/>
  <c r="P189" i="2"/>
  <c r="W189" i="2" s="1"/>
  <c r="AC189" i="2" l="1"/>
  <c r="E189" i="2" s="1"/>
  <c r="AE189" i="2"/>
  <c r="F189" i="2" s="1"/>
  <c r="K190" i="2" s="1"/>
  <c r="L190" i="2" l="1"/>
  <c r="I190" i="2"/>
  <c r="J190" i="2"/>
  <c r="H190" i="2"/>
  <c r="S190" i="2" l="1"/>
  <c r="Z190" i="2" s="1"/>
  <c r="O190" i="2"/>
  <c r="V190" i="2" s="1"/>
  <c r="T190" i="2"/>
  <c r="AA190" i="2" s="1"/>
  <c r="Q190" i="2"/>
  <c r="X190" i="2" s="1"/>
  <c r="P190" i="2"/>
  <c r="W190" i="2" s="1"/>
  <c r="R190" i="2"/>
  <c r="Y190" i="2" s="1"/>
  <c r="AC190" i="2" l="1"/>
  <c r="E190" i="2" s="1"/>
  <c r="AE190" i="2"/>
  <c r="F190" i="2" s="1"/>
  <c r="K191" i="2" s="1"/>
  <c r="I191" i="2" l="1"/>
  <c r="H191" i="2"/>
  <c r="L191" i="2"/>
  <c r="J191" i="2"/>
  <c r="P191" i="2" l="1"/>
  <c r="W191" i="2" s="1"/>
  <c r="Q191" i="2"/>
  <c r="X191" i="2" s="1"/>
  <c r="S191" i="2"/>
  <c r="Z191" i="2" s="1"/>
  <c r="O191" i="2"/>
  <c r="V191" i="2" s="1"/>
  <c r="T191" i="2"/>
  <c r="AA191" i="2" s="1"/>
  <c r="R191" i="2"/>
  <c r="Y191" i="2" s="1"/>
  <c r="AC191" i="2" l="1"/>
  <c r="E191" i="2" s="1"/>
  <c r="AE191" i="2"/>
  <c r="F191" i="2" s="1"/>
  <c r="K192" i="2" s="1"/>
  <c r="H192" i="2" l="1"/>
  <c r="L192" i="2"/>
  <c r="I192" i="2"/>
  <c r="J192" i="2"/>
  <c r="Q192" i="2" l="1"/>
  <c r="X192" i="2" s="1"/>
  <c r="O192" i="2"/>
  <c r="V192" i="2" s="1"/>
  <c r="T192" i="2"/>
  <c r="AA192" i="2" s="1"/>
  <c r="P192" i="2"/>
  <c r="W192" i="2" s="1"/>
  <c r="S192" i="2"/>
  <c r="Z192" i="2" s="1"/>
  <c r="R192" i="2"/>
  <c r="Y192" i="2" s="1"/>
  <c r="AC192" i="2" l="1"/>
  <c r="E192" i="2" s="1"/>
  <c r="AE192" i="2"/>
  <c r="F192" i="2" s="1"/>
  <c r="K193" i="2" s="1"/>
  <c r="L193" i="2" l="1"/>
  <c r="I193" i="2"/>
  <c r="J193" i="2"/>
  <c r="H193" i="2"/>
  <c r="Q193" i="2" l="1"/>
  <c r="X193" i="2" s="1"/>
  <c r="T193" i="2"/>
  <c r="AA193" i="2" s="1"/>
  <c r="O193" i="2"/>
  <c r="V193" i="2" s="1"/>
  <c r="P193" i="2"/>
  <c r="W193" i="2" s="1"/>
  <c r="S193" i="2"/>
  <c r="Z193" i="2" s="1"/>
  <c r="R193" i="2"/>
  <c r="Y193" i="2" s="1"/>
  <c r="AE193" i="2" l="1"/>
  <c r="F193" i="2" s="1"/>
  <c r="K194" i="2" s="1"/>
  <c r="AC193" i="2"/>
  <c r="E193" i="2" s="1"/>
  <c r="H194" i="2" l="1"/>
  <c r="J194" i="2"/>
  <c r="I194" i="2"/>
  <c r="L194" i="2"/>
  <c r="R194" i="2" l="1"/>
  <c r="Y194" i="2" s="1"/>
  <c r="S194" i="2"/>
  <c r="Z194" i="2" s="1"/>
  <c r="P194" i="2"/>
  <c r="W194" i="2" s="1"/>
  <c r="Q194" i="2"/>
  <c r="X194" i="2" s="1"/>
  <c r="O194" i="2"/>
  <c r="V194" i="2" s="1"/>
  <c r="T194" i="2"/>
  <c r="AA194" i="2" s="1"/>
  <c r="AE194" i="2" l="1"/>
  <c r="F194" i="2" s="1"/>
  <c r="K195" i="2" s="1"/>
  <c r="AC194" i="2"/>
  <c r="E194" i="2" s="1"/>
  <c r="H195" i="2" l="1"/>
  <c r="I195" i="2"/>
  <c r="J195" i="2"/>
  <c r="L195" i="2"/>
  <c r="R195" i="2" l="1"/>
  <c r="Y195" i="2" s="1"/>
  <c r="P195" i="2"/>
  <c r="W195" i="2" s="1"/>
  <c r="S195" i="2"/>
  <c r="Z195" i="2" s="1"/>
  <c r="Q195" i="2"/>
  <c r="X195" i="2" s="1"/>
  <c r="O195" i="2"/>
  <c r="V195" i="2" s="1"/>
  <c r="T195" i="2"/>
  <c r="AA195" i="2" s="1"/>
  <c r="AC195" i="2" l="1"/>
  <c r="E195" i="2" s="1"/>
  <c r="AE195" i="2"/>
  <c r="F195" i="2" s="1"/>
  <c r="K196" i="2" s="1"/>
  <c r="H196" i="2" l="1"/>
  <c r="L196" i="2"/>
  <c r="I196" i="2"/>
  <c r="J196" i="2"/>
  <c r="Q196" i="2" l="1"/>
  <c r="X196" i="2" s="1"/>
  <c r="T196" i="2"/>
  <c r="AA196" i="2" s="1"/>
  <c r="O196" i="2"/>
  <c r="V196" i="2" s="1"/>
  <c r="P196" i="2"/>
  <c r="W196" i="2" s="1"/>
  <c r="S196" i="2"/>
  <c r="Z196" i="2" s="1"/>
  <c r="R196" i="2"/>
  <c r="Y196" i="2" s="1"/>
  <c r="AE196" i="2" l="1"/>
  <c r="F196" i="2" s="1"/>
  <c r="K197" i="2" s="1"/>
  <c r="AC196" i="2"/>
  <c r="E196" i="2" s="1"/>
  <c r="L197" i="2" l="1"/>
  <c r="I197" i="2"/>
  <c r="J197" i="2"/>
  <c r="H197" i="2"/>
  <c r="R197" i="2" l="1"/>
  <c r="Y197" i="2" s="1"/>
  <c r="Q197" i="2"/>
  <c r="X197" i="2" s="1"/>
  <c r="O197" i="2"/>
  <c r="V197" i="2" s="1"/>
  <c r="T197" i="2"/>
  <c r="AA197" i="2" s="1"/>
  <c r="P197" i="2"/>
  <c r="W197" i="2" s="1"/>
  <c r="S197" i="2"/>
  <c r="Z197" i="2" s="1"/>
  <c r="AC197" i="2" l="1"/>
  <c r="E197" i="2" s="1"/>
  <c r="AE197" i="2"/>
  <c r="F197" i="2" s="1"/>
  <c r="K198" i="2" s="1"/>
  <c r="L198" i="2" l="1"/>
  <c r="I198" i="2"/>
  <c r="J198" i="2"/>
  <c r="H198" i="2"/>
  <c r="S198" i="2" l="1"/>
  <c r="Z198" i="2" s="1"/>
  <c r="T198" i="2"/>
  <c r="AA198" i="2" s="1"/>
  <c r="O198" i="2"/>
  <c r="V198" i="2" s="1"/>
  <c r="Q198" i="2"/>
  <c r="X198" i="2" s="1"/>
  <c r="P198" i="2"/>
  <c r="W198" i="2" s="1"/>
  <c r="R198" i="2"/>
  <c r="Y198" i="2" s="1"/>
  <c r="AE198" i="2" l="1"/>
  <c r="F198" i="2" s="1"/>
  <c r="K199" i="2" s="1"/>
  <c r="AC198" i="2"/>
  <c r="E198" i="2" s="1"/>
  <c r="I199" i="2" l="1"/>
  <c r="H199" i="2"/>
  <c r="J199" i="2"/>
  <c r="L199" i="2"/>
  <c r="R199" i="2" l="1"/>
  <c r="Y199" i="2" s="1"/>
  <c r="S199" i="2"/>
  <c r="Z199" i="2" s="1"/>
  <c r="Q199" i="2"/>
  <c r="X199" i="2" s="1"/>
  <c r="T199" i="2"/>
  <c r="AA199" i="2" s="1"/>
  <c r="O199" i="2"/>
  <c r="V199" i="2" s="1"/>
  <c r="P199" i="2"/>
  <c r="W199" i="2" s="1"/>
  <c r="AE199" i="2" l="1"/>
  <c r="F199" i="2" s="1"/>
  <c r="K200" i="2" s="1"/>
  <c r="AC199" i="2"/>
  <c r="E199" i="2" s="1"/>
  <c r="I200" i="2" l="1"/>
  <c r="H200" i="2"/>
  <c r="L200" i="2"/>
  <c r="J200" i="2"/>
  <c r="T200" i="2" l="1"/>
  <c r="AA200" i="2" s="1"/>
  <c r="O200" i="2"/>
  <c r="V200" i="2" s="1"/>
  <c r="R200" i="2"/>
  <c r="Y200" i="2" s="1"/>
  <c r="Q200" i="2"/>
  <c r="X200" i="2" s="1"/>
  <c r="S200" i="2"/>
  <c r="Z200" i="2" s="1"/>
  <c r="P200" i="2"/>
  <c r="W200" i="2" s="1"/>
  <c r="AE200" i="2" l="1"/>
  <c r="F200" i="2" s="1"/>
  <c r="K201" i="2" s="1"/>
  <c r="AC200" i="2"/>
  <c r="E200" i="2" s="1"/>
  <c r="I201" i="2" l="1"/>
  <c r="H201" i="2"/>
  <c r="L201" i="2"/>
  <c r="J201" i="2"/>
  <c r="R201" i="2" l="1"/>
  <c r="Y201" i="2" s="1"/>
  <c r="O201" i="2"/>
  <c r="V201" i="2" s="1"/>
  <c r="T201" i="2"/>
  <c r="AA201" i="2" s="1"/>
  <c r="Q201" i="2"/>
  <c r="X201" i="2" s="1"/>
  <c r="S201" i="2"/>
  <c r="Z201" i="2" s="1"/>
  <c r="P201" i="2"/>
  <c r="W201" i="2" s="1"/>
  <c r="AC201" i="2" l="1"/>
  <c r="E201" i="2" s="1"/>
  <c r="AE201" i="2"/>
  <c r="F201" i="2" s="1"/>
  <c r="K202" i="2" s="1"/>
  <c r="I202" i="2" l="1"/>
  <c r="H202" i="2"/>
  <c r="J202" i="2"/>
  <c r="L202" i="2"/>
  <c r="O202" i="2" l="1"/>
  <c r="V202" i="2" s="1"/>
  <c r="T202" i="2"/>
  <c r="AA202" i="2" s="1"/>
  <c r="S202" i="2"/>
  <c r="Z202" i="2" s="1"/>
  <c r="Q202" i="2"/>
  <c r="X202" i="2" s="1"/>
  <c r="P202" i="2"/>
  <c r="W202" i="2" s="1"/>
  <c r="R202" i="2"/>
  <c r="Y202" i="2" s="1"/>
  <c r="AE202" i="2" l="1"/>
  <c r="F202" i="2" s="1"/>
  <c r="K203" i="2" s="1"/>
  <c r="AC202" i="2"/>
  <c r="E202" i="2" s="1"/>
  <c r="I203" i="2" l="1"/>
  <c r="J203" i="2"/>
  <c r="H203" i="2"/>
  <c r="L203" i="2"/>
  <c r="R203" i="2" l="1"/>
  <c r="Y203" i="2" s="1"/>
  <c r="Q203" i="2"/>
  <c r="X203" i="2" s="1"/>
  <c r="S203" i="2"/>
  <c r="Z203" i="2" s="1"/>
  <c r="O203" i="2"/>
  <c r="V203" i="2" s="1"/>
  <c r="T203" i="2"/>
  <c r="AA203" i="2" s="1"/>
  <c r="P203" i="2"/>
  <c r="W203" i="2" s="1"/>
  <c r="AE203" i="2" l="1"/>
  <c r="F203" i="2" s="1"/>
  <c r="K204" i="2" s="1"/>
  <c r="AC203" i="2"/>
  <c r="E203" i="2" s="1"/>
  <c r="I204" i="2" l="1"/>
  <c r="H204" i="2"/>
  <c r="J204" i="2"/>
  <c r="L204" i="2"/>
  <c r="T204" i="2" l="1"/>
  <c r="AA204" i="2" s="1"/>
  <c r="O204" i="2"/>
  <c r="V204" i="2" s="1"/>
  <c r="R204" i="2"/>
  <c r="Y204" i="2" s="1"/>
  <c r="S204" i="2"/>
  <c r="Z204" i="2" s="1"/>
  <c r="Q204" i="2"/>
  <c r="X204" i="2" s="1"/>
  <c r="P204" i="2"/>
  <c r="W204" i="2" s="1"/>
  <c r="AC204" i="2" l="1"/>
  <c r="E204" i="2" s="1"/>
  <c r="AE204" i="2"/>
  <c r="F204" i="2" s="1"/>
  <c r="K205" i="2" s="1"/>
  <c r="I205" i="2" l="1"/>
  <c r="H205" i="2"/>
  <c r="L205" i="2"/>
  <c r="J205" i="2"/>
  <c r="S205" i="2" l="1"/>
  <c r="Z205" i="2" s="1"/>
  <c r="Q205" i="2"/>
  <c r="X205" i="2" s="1"/>
  <c r="O205" i="2"/>
  <c r="V205" i="2" s="1"/>
  <c r="T205" i="2"/>
  <c r="AA205" i="2" s="1"/>
  <c r="P205" i="2"/>
  <c r="W205" i="2" s="1"/>
  <c r="R205" i="2"/>
  <c r="Y205" i="2" s="1"/>
  <c r="AE205" i="2" l="1"/>
  <c r="F205" i="2" s="1"/>
  <c r="K206" i="2" s="1"/>
  <c r="AC205" i="2"/>
  <c r="E205" i="2" s="1"/>
  <c r="I206" i="2" l="1"/>
  <c r="L206" i="2"/>
  <c r="H206" i="2"/>
  <c r="J206" i="2"/>
  <c r="R206" i="2" l="1"/>
  <c r="Y206" i="2" s="1"/>
  <c r="S206" i="2"/>
  <c r="Z206" i="2" s="1"/>
  <c r="Q206" i="2"/>
  <c r="X206" i="2" s="1"/>
  <c r="O206" i="2"/>
  <c r="V206" i="2" s="1"/>
  <c r="T206" i="2"/>
  <c r="AA206" i="2" s="1"/>
  <c r="P206" i="2"/>
  <c r="W206" i="2" s="1"/>
  <c r="AC206" i="2" l="1"/>
  <c r="E206" i="2" s="1"/>
  <c r="AE206" i="2"/>
  <c r="F206" i="2" s="1"/>
  <c r="K207" i="2" s="1"/>
  <c r="I207" i="2" l="1"/>
  <c r="L207" i="2"/>
  <c r="J207" i="2"/>
  <c r="H207" i="2"/>
  <c r="T207" i="2" l="1"/>
  <c r="AA207" i="2" s="1"/>
  <c r="O207" i="2"/>
  <c r="V207" i="2" s="1"/>
  <c r="Q207" i="2"/>
  <c r="X207" i="2" s="1"/>
  <c r="S207" i="2"/>
  <c r="Z207" i="2" s="1"/>
  <c r="P207" i="2"/>
  <c r="W207" i="2" s="1"/>
  <c r="R207" i="2"/>
  <c r="Y207" i="2" s="1"/>
  <c r="AE207" i="2" l="1"/>
  <c r="F207" i="2" s="1"/>
  <c r="K208" i="2" s="1"/>
  <c r="AC207" i="2"/>
  <c r="E207" i="2" s="1"/>
  <c r="I208" i="2" l="1"/>
  <c r="L208" i="2"/>
  <c r="H208" i="2"/>
  <c r="J208" i="2"/>
  <c r="R208" i="2" l="1"/>
  <c r="Y208" i="2" s="1"/>
  <c r="S208" i="2"/>
  <c r="Z208" i="2" s="1"/>
  <c r="Q208" i="2"/>
  <c r="X208" i="2" s="1"/>
  <c r="T208" i="2"/>
  <c r="AA208" i="2" s="1"/>
  <c r="O208" i="2"/>
  <c r="V208" i="2" s="1"/>
  <c r="P208" i="2"/>
  <c r="W208" i="2" s="1"/>
  <c r="AC208" i="2" l="1"/>
  <c r="E208" i="2" s="1"/>
  <c r="AE208" i="2"/>
  <c r="F208" i="2" s="1"/>
  <c r="K209" i="2" s="1"/>
  <c r="I209" i="2" l="1"/>
  <c r="L209" i="2"/>
  <c r="J209" i="2"/>
  <c r="H209" i="2"/>
  <c r="Q209" i="2" l="1"/>
  <c r="X209" i="2" s="1"/>
  <c r="T209" i="2"/>
  <c r="AA209" i="2" s="1"/>
  <c r="O209" i="2"/>
  <c r="V209" i="2" s="1"/>
  <c r="S209" i="2"/>
  <c r="Z209" i="2" s="1"/>
  <c r="P209" i="2"/>
  <c r="W209" i="2" s="1"/>
  <c r="R209" i="2"/>
  <c r="Y209" i="2" s="1"/>
  <c r="AC209" i="2" l="1"/>
  <c r="E209" i="2" s="1"/>
  <c r="AE209" i="2"/>
  <c r="F209" i="2" s="1"/>
  <c r="K210" i="2" s="1"/>
  <c r="I210" i="2" l="1"/>
  <c r="J210" i="2"/>
  <c r="H210" i="2"/>
  <c r="L210" i="2"/>
  <c r="S210" i="2" l="1"/>
  <c r="Z210" i="2" s="1"/>
  <c r="O210" i="2"/>
  <c r="V210" i="2" s="1"/>
  <c r="T210" i="2"/>
  <c r="AA210" i="2" s="1"/>
  <c r="Q210" i="2"/>
  <c r="X210" i="2" s="1"/>
  <c r="P210" i="2"/>
  <c r="W210" i="2" s="1"/>
  <c r="R210" i="2"/>
  <c r="Y210" i="2" s="1"/>
  <c r="AC210" i="2" l="1"/>
  <c r="E210" i="2" s="1"/>
  <c r="AE210" i="2"/>
  <c r="F210" i="2" s="1"/>
  <c r="K211" i="2" s="1"/>
  <c r="I211" i="2" l="1"/>
  <c r="J211" i="2"/>
  <c r="L211" i="2"/>
  <c r="H211" i="2"/>
  <c r="Q211" i="2" l="1"/>
  <c r="X211" i="2" s="1"/>
  <c r="T211" i="2"/>
  <c r="AA211" i="2" s="1"/>
  <c r="O211" i="2"/>
  <c r="V211" i="2" s="1"/>
  <c r="S211" i="2"/>
  <c r="Z211" i="2" s="1"/>
  <c r="P211" i="2"/>
  <c r="W211" i="2" s="1"/>
  <c r="R211" i="2"/>
  <c r="Y211" i="2" s="1"/>
  <c r="AE211" i="2" l="1"/>
  <c r="F211" i="2" s="1"/>
  <c r="K212" i="2" s="1"/>
  <c r="AC211" i="2"/>
  <c r="E211" i="2" s="1"/>
  <c r="I212" i="2" l="1"/>
  <c r="L212" i="2"/>
  <c r="J212" i="2"/>
  <c r="H212" i="2"/>
  <c r="R212" i="2" l="1"/>
  <c r="Y212" i="2" s="1"/>
  <c r="Q212" i="2"/>
  <c r="X212" i="2" s="1"/>
  <c r="T212" i="2"/>
  <c r="AA212" i="2" s="1"/>
  <c r="O212" i="2"/>
  <c r="V212" i="2" s="1"/>
  <c r="S212" i="2"/>
  <c r="Z212" i="2" s="1"/>
  <c r="P212" i="2"/>
  <c r="W212" i="2" s="1"/>
  <c r="AE212" i="2" l="1"/>
  <c r="F212" i="2" s="1"/>
  <c r="K213" i="2" s="1"/>
  <c r="AC212" i="2"/>
  <c r="E212" i="2" s="1"/>
  <c r="I213" i="2" l="1"/>
  <c r="L213" i="2"/>
  <c r="J213" i="2"/>
  <c r="H213" i="2"/>
  <c r="R213" i="2" l="1"/>
  <c r="Y213" i="2" s="1"/>
  <c r="S213" i="2"/>
  <c r="Z213" i="2" s="1"/>
  <c r="O213" i="2"/>
  <c r="V213" i="2" s="1"/>
  <c r="T213" i="2"/>
  <c r="AA213" i="2" s="1"/>
  <c r="Q213" i="2"/>
  <c r="X213" i="2" s="1"/>
  <c r="P213" i="2"/>
  <c r="W213" i="2" s="1"/>
  <c r="AE213" i="2" l="1"/>
  <c r="F213" i="2" s="1"/>
  <c r="K214" i="2" s="1"/>
  <c r="AC213" i="2"/>
  <c r="E213" i="2" s="1"/>
  <c r="I214" i="2" l="1"/>
  <c r="H214" i="2"/>
  <c r="J214" i="2"/>
  <c r="L214" i="2"/>
  <c r="R214" i="2" l="1"/>
  <c r="Y214" i="2" s="1"/>
  <c r="Q214" i="2"/>
  <c r="X214" i="2" s="1"/>
  <c r="S214" i="2"/>
  <c r="Z214" i="2" s="1"/>
  <c r="T214" i="2"/>
  <c r="AA214" i="2" s="1"/>
  <c r="O214" i="2"/>
  <c r="V214" i="2" s="1"/>
  <c r="P214" i="2"/>
  <c r="W214" i="2" s="1"/>
  <c r="AC214" i="2" l="1"/>
  <c r="E214" i="2" s="1"/>
  <c r="AE214" i="2"/>
  <c r="F214" i="2" s="1"/>
  <c r="K215" i="2" s="1"/>
  <c r="I215" i="2" l="1"/>
  <c r="H215" i="2"/>
  <c r="J215" i="2"/>
  <c r="L215" i="2"/>
  <c r="P215" i="2" l="1"/>
  <c r="W215" i="2" s="1"/>
  <c r="S215" i="2"/>
  <c r="Z215" i="2" s="1"/>
  <c r="Q215" i="2"/>
  <c r="X215" i="2" s="1"/>
  <c r="T215" i="2"/>
  <c r="AA215" i="2" s="1"/>
  <c r="O215" i="2"/>
  <c r="V215" i="2" s="1"/>
  <c r="R215" i="2"/>
  <c r="Y215" i="2" s="1"/>
  <c r="AC215" i="2" l="1"/>
  <c r="E215" i="2" s="1"/>
  <c r="AE215" i="2"/>
  <c r="F215" i="2" s="1"/>
  <c r="K216" i="2" s="1"/>
  <c r="I216" i="2" l="1"/>
  <c r="H216" i="2"/>
  <c r="J216" i="2"/>
  <c r="L216" i="2"/>
  <c r="S216" i="2" l="1"/>
  <c r="Z216" i="2" s="1"/>
  <c r="Q216" i="2"/>
  <c r="X216" i="2" s="1"/>
  <c r="O216" i="2"/>
  <c r="V216" i="2" s="1"/>
  <c r="T216" i="2"/>
  <c r="AA216" i="2" s="1"/>
  <c r="P216" i="2"/>
  <c r="W216" i="2" s="1"/>
  <c r="R216" i="2"/>
  <c r="Y216" i="2" s="1"/>
  <c r="AE216" i="2" l="1"/>
  <c r="F216" i="2" s="1"/>
  <c r="K217" i="2" s="1"/>
  <c r="AC216" i="2"/>
  <c r="E216" i="2" s="1"/>
  <c r="L217" i="2" l="1"/>
  <c r="I217" i="2"/>
  <c r="H217" i="2"/>
  <c r="J217" i="2"/>
  <c r="R217" i="2" l="1"/>
  <c r="Y217" i="2" s="1"/>
  <c r="P217" i="2"/>
  <c r="W217" i="2" s="1"/>
  <c r="Q217" i="2"/>
  <c r="X217" i="2" s="1"/>
  <c r="T217" i="2"/>
  <c r="AA217" i="2" s="1"/>
  <c r="O217" i="2"/>
  <c r="V217" i="2" s="1"/>
  <c r="S217" i="2"/>
  <c r="Z217" i="2" s="1"/>
  <c r="AC217" i="2" l="1"/>
  <c r="E217" i="2" s="1"/>
  <c r="AE217" i="2"/>
  <c r="F217" i="2" s="1"/>
  <c r="K218" i="2" s="1"/>
  <c r="I218" i="2" l="1"/>
  <c r="H218" i="2"/>
  <c r="L218" i="2"/>
  <c r="J218" i="2"/>
  <c r="P218" i="2" l="1"/>
  <c r="W218" i="2" s="1"/>
  <c r="Q218" i="2"/>
  <c r="X218" i="2" s="1"/>
  <c r="S218" i="2"/>
  <c r="Z218" i="2" s="1"/>
  <c r="O218" i="2"/>
  <c r="V218" i="2" s="1"/>
  <c r="T218" i="2"/>
  <c r="AA218" i="2" s="1"/>
  <c r="R218" i="2"/>
  <c r="Y218" i="2" s="1"/>
  <c r="AC218" i="2" l="1"/>
  <c r="E218" i="2" s="1"/>
  <c r="AE218" i="2"/>
  <c r="F218" i="2" s="1"/>
  <c r="K219" i="2" s="1"/>
  <c r="H219" i="2" l="1"/>
  <c r="I219" i="2"/>
  <c r="L219" i="2"/>
  <c r="J219" i="2"/>
  <c r="R219" i="2" l="1"/>
  <c r="Y219" i="2" s="1"/>
  <c r="Q219" i="2"/>
  <c r="X219" i="2" s="1"/>
  <c r="S219" i="2"/>
  <c r="Z219" i="2" s="1"/>
  <c r="P219" i="2"/>
  <c r="W219" i="2" s="1"/>
  <c r="O219" i="2"/>
  <c r="V219" i="2" s="1"/>
  <c r="T219" i="2"/>
  <c r="AA219" i="2" s="1"/>
  <c r="AC219" i="2" l="1"/>
  <c r="E219" i="2" s="1"/>
  <c r="AE219" i="2"/>
  <c r="F219" i="2" s="1"/>
  <c r="K220" i="2" s="1"/>
  <c r="I220" i="2" l="1"/>
  <c r="H220" i="2"/>
  <c r="J220" i="2"/>
  <c r="L220" i="2"/>
  <c r="O220" i="2" l="1"/>
  <c r="V220" i="2" s="1"/>
  <c r="T220" i="2"/>
  <c r="AA220" i="2" s="1"/>
  <c r="Q220" i="2"/>
  <c r="X220" i="2" s="1"/>
  <c r="S220" i="2"/>
  <c r="Z220" i="2" s="1"/>
  <c r="P220" i="2"/>
  <c r="W220" i="2" s="1"/>
  <c r="R220" i="2"/>
  <c r="Y220" i="2" s="1"/>
  <c r="AE220" i="2" l="1"/>
  <c r="F220" i="2" s="1"/>
  <c r="K221" i="2" s="1"/>
  <c r="AC220" i="2"/>
  <c r="E220" i="2" s="1"/>
  <c r="L221" i="2" l="1"/>
  <c r="I221" i="2"/>
  <c r="H221" i="2"/>
  <c r="J221" i="2"/>
  <c r="R221" i="2" l="1"/>
  <c r="Y221" i="2" s="1"/>
  <c r="P221" i="2"/>
  <c r="W221" i="2" s="1"/>
  <c r="Q221" i="2"/>
  <c r="X221" i="2" s="1"/>
  <c r="O221" i="2"/>
  <c r="V221" i="2" s="1"/>
  <c r="T221" i="2"/>
  <c r="AA221" i="2" s="1"/>
  <c r="S221" i="2"/>
  <c r="Z221" i="2" s="1"/>
  <c r="AE221" i="2" l="1"/>
  <c r="F221" i="2" s="1"/>
  <c r="K222" i="2" s="1"/>
  <c r="AC221" i="2"/>
  <c r="E221" i="2" s="1"/>
  <c r="L222" i="2" l="1"/>
  <c r="I222" i="2"/>
  <c r="J222" i="2"/>
  <c r="H222" i="2"/>
  <c r="R222" i="2" l="1"/>
  <c r="Y222" i="2" s="1"/>
  <c r="P222" i="2"/>
  <c r="W222" i="2" s="1"/>
  <c r="T222" i="2"/>
  <c r="AA222" i="2" s="1"/>
  <c r="O222" i="2"/>
  <c r="V222" i="2" s="1"/>
  <c r="Q222" i="2"/>
  <c r="X222" i="2" s="1"/>
  <c r="S222" i="2"/>
  <c r="Z222" i="2" s="1"/>
  <c r="AE222" i="2" l="1"/>
  <c r="F222" i="2" s="1"/>
  <c r="K223" i="2" s="1"/>
  <c r="AC222" i="2"/>
  <c r="E222" i="2" s="1"/>
  <c r="I223" i="2" l="1"/>
  <c r="L223" i="2"/>
  <c r="H223" i="2"/>
  <c r="J223" i="2"/>
  <c r="R223" i="2" l="1"/>
  <c r="Y223" i="2" s="1"/>
  <c r="Q223" i="2"/>
  <c r="X223" i="2" s="1"/>
  <c r="O223" i="2"/>
  <c r="V223" i="2" s="1"/>
  <c r="T223" i="2"/>
  <c r="AA223" i="2" s="1"/>
  <c r="S223" i="2"/>
  <c r="Z223" i="2" s="1"/>
  <c r="P223" i="2"/>
  <c r="W223" i="2" s="1"/>
  <c r="AC223" i="2" l="1"/>
  <c r="E223" i="2" s="1"/>
  <c r="AE223" i="2"/>
  <c r="F223" i="2" s="1"/>
  <c r="K224" i="2" s="1"/>
  <c r="J224" i="2" l="1"/>
  <c r="I224" i="2"/>
  <c r="L224" i="2"/>
  <c r="H224" i="2"/>
  <c r="T224" i="2" l="1"/>
  <c r="AA224" i="2" s="1"/>
  <c r="O224" i="2"/>
  <c r="V224" i="2" s="1"/>
  <c r="S224" i="2"/>
  <c r="Z224" i="2" s="1"/>
  <c r="P224" i="2"/>
  <c r="W224" i="2" s="1"/>
  <c r="Q224" i="2"/>
  <c r="X224" i="2" s="1"/>
  <c r="R224" i="2"/>
  <c r="Y224" i="2" s="1"/>
  <c r="AE224" i="2" l="1"/>
  <c r="F224" i="2" s="1"/>
  <c r="K225" i="2" s="1"/>
  <c r="AC224" i="2"/>
  <c r="E224" i="2" s="1"/>
  <c r="J225" i="2" l="1"/>
  <c r="H225" i="2"/>
  <c r="L225" i="2"/>
  <c r="I225" i="2"/>
  <c r="R225" i="2" l="1"/>
  <c r="Y225" i="2" s="1"/>
  <c r="S225" i="2"/>
  <c r="Z225" i="2" s="1"/>
  <c r="P225" i="2"/>
  <c r="W225" i="2" s="1"/>
  <c r="T225" i="2"/>
  <c r="AA225" i="2" s="1"/>
  <c r="O225" i="2"/>
  <c r="V225" i="2" s="1"/>
  <c r="Q225" i="2"/>
  <c r="X225" i="2" s="1"/>
  <c r="AC225" i="2" l="1"/>
  <c r="E225" i="2" s="1"/>
  <c r="AE225" i="2"/>
  <c r="F225" i="2" s="1"/>
  <c r="K226" i="2" s="1"/>
  <c r="H226" i="2" l="1"/>
  <c r="J226" i="2"/>
  <c r="L226" i="2"/>
  <c r="I226" i="2"/>
  <c r="R226" i="2" l="1"/>
  <c r="Y226" i="2" s="1"/>
  <c r="P226" i="2"/>
  <c r="W226" i="2" s="1"/>
  <c r="S226" i="2"/>
  <c r="Z226" i="2" s="1"/>
  <c r="Q226" i="2"/>
  <c r="X226" i="2" s="1"/>
  <c r="O226" i="2"/>
  <c r="V226" i="2" s="1"/>
  <c r="T226" i="2"/>
  <c r="AA226" i="2" s="1"/>
  <c r="AE226" i="2" l="1"/>
  <c r="F226" i="2" s="1"/>
  <c r="K227" i="2" s="1"/>
  <c r="AC226" i="2"/>
  <c r="E226" i="2" s="1"/>
  <c r="H227" i="2" l="1"/>
  <c r="L227" i="2"/>
  <c r="I227" i="2"/>
  <c r="J227" i="2"/>
  <c r="R227" i="2" l="1"/>
  <c r="Y227" i="2" s="1"/>
  <c r="P227" i="2"/>
  <c r="W227" i="2" s="1"/>
  <c r="Q227" i="2"/>
  <c r="X227" i="2" s="1"/>
  <c r="S227" i="2"/>
  <c r="Z227" i="2" s="1"/>
  <c r="T227" i="2"/>
  <c r="AA227" i="2" s="1"/>
  <c r="O227" i="2"/>
  <c r="V227" i="2" s="1"/>
  <c r="AC227" i="2" l="1"/>
  <c r="E227" i="2" s="1"/>
  <c r="AE227" i="2"/>
  <c r="F227" i="2" s="1"/>
  <c r="K228" i="2" s="1"/>
  <c r="H228" i="2" l="1"/>
  <c r="I228" i="2"/>
  <c r="J228" i="2"/>
  <c r="L228" i="2"/>
  <c r="T228" i="2" l="1"/>
  <c r="AA228" i="2" s="1"/>
  <c r="O228" i="2"/>
  <c r="V228" i="2" s="1"/>
  <c r="S228" i="2"/>
  <c r="Z228" i="2" s="1"/>
  <c r="Q228" i="2"/>
  <c r="X228" i="2" s="1"/>
  <c r="P228" i="2"/>
  <c r="W228" i="2" s="1"/>
  <c r="R228" i="2"/>
  <c r="Y228" i="2" s="1"/>
  <c r="AE228" i="2" l="1"/>
  <c r="F228" i="2" s="1"/>
  <c r="K229" i="2" s="1"/>
  <c r="AC228" i="2"/>
  <c r="E228" i="2" s="1"/>
  <c r="I229" i="2" l="1"/>
  <c r="H229" i="2"/>
  <c r="L229" i="2"/>
  <c r="J229" i="2"/>
  <c r="R229" i="2" l="1"/>
  <c r="Y229" i="2" s="1"/>
  <c r="S229" i="2"/>
  <c r="Z229" i="2" s="1"/>
  <c r="Q229" i="2"/>
  <c r="X229" i="2" s="1"/>
  <c r="T229" i="2"/>
  <c r="AA229" i="2" s="1"/>
  <c r="O229" i="2"/>
  <c r="V229" i="2" s="1"/>
  <c r="P229" i="2"/>
  <c r="W229" i="2" s="1"/>
  <c r="AE229" i="2" l="1"/>
  <c r="F229" i="2" s="1"/>
  <c r="K230" i="2" s="1"/>
  <c r="AC229" i="2"/>
  <c r="E229" i="2" s="1"/>
  <c r="I230" i="2" l="1"/>
  <c r="J230" i="2"/>
  <c r="H230" i="2"/>
  <c r="L230" i="2"/>
  <c r="R230" i="2" l="1"/>
  <c r="Y230" i="2" s="1"/>
  <c r="Q230" i="2"/>
  <c r="X230" i="2" s="1"/>
  <c r="S230" i="2"/>
  <c r="Z230" i="2" s="1"/>
  <c r="T230" i="2"/>
  <c r="AA230" i="2" s="1"/>
  <c r="O230" i="2"/>
  <c r="V230" i="2" s="1"/>
  <c r="P230" i="2"/>
  <c r="W230" i="2" s="1"/>
  <c r="AC230" i="2" l="1"/>
  <c r="E230" i="2" s="1"/>
  <c r="AE230" i="2"/>
  <c r="F230" i="2" s="1"/>
  <c r="K231" i="2" s="1"/>
  <c r="J231" i="2" l="1"/>
  <c r="I231" i="2"/>
  <c r="L231" i="2"/>
  <c r="H231" i="2"/>
  <c r="O231" i="2" l="1"/>
  <c r="V231" i="2" s="1"/>
  <c r="T231" i="2"/>
  <c r="AA231" i="2" s="1"/>
  <c r="S231" i="2"/>
  <c r="Z231" i="2" s="1"/>
  <c r="P231" i="2"/>
  <c r="W231" i="2" s="1"/>
  <c r="Q231" i="2"/>
  <c r="X231" i="2" s="1"/>
  <c r="R231" i="2"/>
  <c r="Y231" i="2" s="1"/>
  <c r="AE231" i="2" l="1"/>
  <c r="F231" i="2" s="1"/>
  <c r="K232" i="2" s="1"/>
  <c r="AC231" i="2"/>
  <c r="E231" i="2" s="1"/>
  <c r="J232" i="2" l="1"/>
  <c r="H232" i="2"/>
  <c r="I232" i="2"/>
  <c r="L232" i="2"/>
  <c r="T232" i="2" l="1"/>
  <c r="AA232" i="2" s="1"/>
  <c r="O232" i="2"/>
  <c r="V232" i="2" s="1"/>
  <c r="R232" i="2"/>
  <c r="Y232" i="2" s="1"/>
  <c r="S232" i="2"/>
  <c r="Z232" i="2" s="1"/>
  <c r="P232" i="2"/>
  <c r="W232" i="2" s="1"/>
  <c r="Q232" i="2"/>
  <c r="X232" i="2" s="1"/>
  <c r="AE232" i="2" l="1"/>
  <c r="F232" i="2" s="1"/>
  <c r="K233" i="2" s="1"/>
  <c r="AC232" i="2"/>
  <c r="E232" i="2" s="1"/>
  <c r="J233" i="2" l="1"/>
  <c r="H233" i="2"/>
  <c r="I233" i="2"/>
  <c r="L233" i="2"/>
  <c r="T233" i="2" l="1"/>
  <c r="AA233" i="2" s="1"/>
  <c r="O233" i="2"/>
  <c r="V233" i="2" s="1"/>
  <c r="R233" i="2"/>
  <c r="Y233" i="2" s="1"/>
  <c r="S233" i="2"/>
  <c r="Z233" i="2" s="1"/>
  <c r="P233" i="2"/>
  <c r="W233" i="2" s="1"/>
  <c r="Q233" i="2"/>
  <c r="X233" i="2" s="1"/>
  <c r="AE233" i="2" l="1"/>
  <c r="F233" i="2" s="1"/>
  <c r="K234" i="2" s="1"/>
  <c r="AC233" i="2"/>
  <c r="E233" i="2" s="1"/>
  <c r="J234" i="2" l="1"/>
  <c r="L234" i="2"/>
  <c r="I234" i="2"/>
  <c r="H234" i="2"/>
  <c r="R234" i="2" l="1"/>
  <c r="Y234" i="2" s="1"/>
  <c r="S234" i="2"/>
  <c r="Z234" i="2" s="1"/>
  <c r="T234" i="2"/>
  <c r="AA234" i="2" s="1"/>
  <c r="O234" i="2"/>
  <c r="V234" i="2" s="1"/>
  <c r="P234" i="2"/>
  <c r="W234" i="2" s="1"/>
  <c r="Q234" i="2"/>
  <c r="X234" i="2" s="1"/>
  <c r="AC234" i="2" l="1"/>
  <c r="E234" i="2" s="1"/>
  <c r="AE234" i="2"/>
  <c r="F234" i="2" s="1"/>
  <c r="K235" i="2" s="1"/>
  <c r="J235" i="2" l="1"/>
  <c r="H235" i="2"/>
  <c r="L235" i="2"/>
  <c r="I235" i="2"/>
  <c r="Q235" i="2" l="1"/>
  <c r="X235" i="2" s="1"/>
  <c r="P235" i="2"/>
  <c r="W235" i="2" s="1"/>
  <c r="S235" i="2"/>
  <c r="Z235" i="2" s="1"/>
  <c r="T235" i="2"/>
  <c r="AA235" i="2" s="1"/>
  <c r="O235" i="2"/>
  <c r="V235" i="2" s="1"/>
  <c r="R235" i="2"/>
  <c r="Y235" i="2" s="1"/>
  <c r="AC235" i="2" l="1"/>
  <c r="E235" i="2" s="1"/>
  <c r="AE235" i="2"/>
  <c r="F235" i="2" s="1"/>
  <c r="K236" i="2" s="1"/>
  <c r="H236" i="2" l="1"/>
  <c r="I236" i="2"/>
  <c r="J236" i="2"/>
  <c r="L236" i="2"/>
  <c r="T236" i="2" l="1"/>
  <c r="AA236" i="2" s="1"/>
  <c r="O236" i="2"/>
  <c r="V236" i="2" s="1"/>
  <c r="S236" i="2"/>
  <c r="Z236" i="2" s="1"/>
  <c r="Q236" i="2"/>
  <c r="X236" i="2" s="1"/>
  <c r="P236" i="2"/>
  <c r="W236" i="2" s="1"/>
  <c r="R236" i="2"/>
  <c r="Y236" i="2" s="1"/>
  <c r="AE236" i="2" l="1"/>
  <c r="F236" i="2" s="1"/>
  <c r="K237" i="2" s="1"/>
  <c r="AC236" i="2"/>
  <c r="E236" i="2" s="1"/>
  <c r="I237" i="2" l="1"/>
  <c r="L237" i="2"/>
  <c r="J237" i="2"/>
  <c r="H237" i="2"/>
  <c r="R237" i="2" l="1"/>
  <c r="Y237" i="2" s="1"/>
  <c r="Q237" i="2"/>
  <c r="X237" i="2" s="1"/>
  <c r="O237" i="2"/>
  <c r="V237" i="2" s="1"/>
  <c r="T237" i="2"/>
  <c r="AA237" i="2" s="1"/>
  <c r="S237" i="2"/>
  <c r="Z237" i="2" s="1"/>
  <c r="P237" i="2"/>
  <c r="W237" i="2" s="1"/>
  <c r="AC237" i="2" l="1"/>
  <c r="E237" i="2" s="1"/>
  <c r="AE237" i="2"/>
  <c r="F237" i="2" s="1"/>
  <c r="K238" i="2" s="1"/>
  <c r="I238" i="2" l="1"/>
  <c r="H238" i="2"/>
  <c r="J238" i="2"/>
  <c r="L238" i="2"/>
  <c r="T238" i="2" l="1"/>
  <c r="AA238" i="2" s="1"/>
  <c r="O238" i="2"/>
  <c r="V238" i="2" s="1"/>
  <c r="S238" i="2"/>
  <c r="Z238" i="2" s="1"/>
  <c r="Q238" i="2"/>
  <c r="X238" i="2" s="1"/>
  <c r="P238" i="2"/>
  <c r="W238" i="2" s="1"/>
  <c r="R238" i="2"/>
  <c r="Y238" i="2" s="1"/>
  <c r="AC238" i="2" l="1"/>
  <c r="E238" i="2" s="1"/>
  <c r="AE238" i="2"/>
  <c r="F238" i="2" s="1"/>
  <c r="K239" i="2" s="1"/>
  <c r="L239" i="2" l="1"/>
  <c r="J239" i="2"/>
  <c r="H239" i="2"/>
  <c r="I239" i="2"/>
  <c r="Q239" i="2" l="1"/>
  <c r="X239" i="2" s="1"/>
  <c r="P239" i="2"/>
  <c r="W239" i="2" s="1"/>
  <c r="O239" i="2"/>
  <c r="V239" i="2" s="1"/>
  <c r="T239" i="2"/>
  <c r="AA239" i="2" s="1"/>
  <c r="S239" i="2"/>
  <c r="Z239" i="2" s="1"/>
  <c r="R239" i="2"/>
  <c r="Y239" i="2" s="1"/>
  <c r="AE239" i="2" l="1"/>
  <c r="F239" i="2" s="1"/>
  <c r="K240" i="2" s="1"/>
  <c r="AC239" i="2"/>
  <c r="E239" i="2" s="1"/>
  <c r="J240" i="2" l="1"/>
  <c r="L240" i="2"/>
  <c r="I240" i="2"/>
  <c r="H240" i="2"/>
  <c r="T240" i="2" l="1"/>
  <c r="AA240" i="2" s="1"/>
  <c r="O240" i="2"/>
  <c r="V240" i="2" s="1"/>
  <c r="R240" i="2"/>
  <c r="Y240" i="2" s="1"/>
  <c r="P240" i="2"/>
  <c r="W240" i="2" s="1"/>
  <c r="S240" i="2"/>
  <c r="Z240" i="2" s="1"/>
  <c r="Q240" i="2"/>
  <c r="X240" i="2" s="1"/>
  <c r="AC240" i="2" l="1"/>
  <c r="E240" i="2" s="1"/>
  <c r="AE240" i="2"/>
  <c r="F240" i="2" s="1"/>
  <c r="K241" i="2" s="1"/>
  <c r="J241" i="2" l="1"/>
  <c r="H241" i="2"/>
  <c r="I241" i="2"/>
  <c r="L241" i="2"/>
  <c r="R241" i="2" l="1"/>
  <c r="Y241" i="2" s="1"/>
  <c r="S241" i="2"/>
  <c r="Z241" i="2" s="1"/>
  <c r="P241" i="2"/>
  <c r="W241" i="2" s="1"/>
  <c r="T241" i="2"/>
  <c r="AA241" i="2" s="1"/>
  <c r="O241" i="2"/>
  <c r="V241" i="2" s="1"/>
  <c r="Q241" i="2"/>
  <c r="X241" i="2" s="1"/>
  <c r="AE241" i="2" l="1"/>
  <c r="F241" i="2" s="1"/>
  <c r="K242" i="2" s="1"/>
  <c r="AC241" i="2"/>
  <c r="E241" i="2" s="1"/>
  <c r="J242" i="2" l="1"/>
  <c r="I242" i="2"/>
  <c r="L242" i="2"/>
  <c r="H242" i="2"/>
  <c r="R242" i="2" l="1"/>
  <c r="Y242" i="2" s="1"/>
  <c r="P242" i="2"/>
  <c r="W242" i="2" s="1"/>
  <c r="O242" i="2"/>
  <c r="V242" i="2" s="1"/>
  <c r="T242" i="2"/>
  <c r="AA242" i="2" s="1"/>
  <c r="S242" i="2"/>
  <c r="Z242" i="2" s="1"/>
  <c r="Q242" i="2"/>
  <c r="X242" i="2" s="1"/>
  <c r="AE242" i="2" l="1"/>
  <c r="F242" i="2" s="1"/>
  <c r="K243" i="2" s="1"/>
  <c r="AC242" i="2"/>
  <c r="E242" i="2" s="1"/>
  <c r="I243" i="2" l="1"/>
  <c r="J243" i="2"/>
  <c r="L243" i="2"/>
  <c r="H243" i="2"/>
  <c r="R243" i="2" l="1"/>
  <c r="Y243" i="2" s="1"/>
  <c r="Q243" i="2"/>
  <c r="X243" i="2" s="1"/>
  <c r="T243" i="2"/>
  <c r="AA243" i="2" s="1"/>
  <c r="O243" i="2"/>
  <c r="V243" i="2" s="1"/>
  <c r="S243" i="2"/>
  <c r="Z243" i="2" s="1"/>
  <c r="P243" i="2"/>
  <c r="W243" i="2" s="1"/>
  <c r="AC243" i="2" l="1"/>
  <c r="E243" i="2" s="1"/>
  <c r="AE243" i="2"/>
  <c r="F243" i="2" s="1"/>
  <c r="K244" i="2" s="1"/>
  <c r="H244" i="2" l="1"/>
  <c r="L244" i="2"/>
  <c r="I244" i="2"/>
  <c r="J244" i="2"/>
  <c r="P244" i="2" l="1"/>
  <c r="W244" i="2" s="1"/>
  <c r="Q244" i="2"/>
  <c r="X244" i="2" s="1"/>
  <c r="S244" i="2"/>
  <c r="Z244" i="2" s="1"/>
  <c r="T244" i="2"/>
  <c r="AA244" i="2" s="1"/>
  <c r="O244" i="2"/>
  <c r="V244" i="2" s="1"/>
  <c r="R244" i="2"/>
  <c r="Y244" i="2" s="1"/>
  <c r="AE244" i="2" l="1"/>
  <c r="F244" i="2" s="1"/>
  <c r="K245" i="2" s="1"/>
  <c r="AC244" i="2"/>
  <c r="E244" i="2" s="1"/>
  <c r="H245" i="2" l="1"/>
  <c r="I245" i="2"/>
  <c r="J245" i="2"/>
  <c r="L245" i="2"/>
  <c r="R245" i="2" l="1"/>
  <c r="Y245" i="2" s="1"/>
  <c r="Q245" i="2"/>
  <c r="X245" i="2" s="1"/>
  <c r="S245" i="2"/>
  <c r="Z245" i="2" s="1"/>
  <c r="P245" i="2"/>
  <c r="W245" i="2" s="1"/>
  <c r="T245" i="2"/>
  <c r="AA245" i="2" s="1"/>
  <c r="O245" i="2"/>
  <c r="V245" i="2" s="1"/>
  <c r="AE245" i="2" l="1"/>
  <c r="F245" i="2" s="1"/>
  <c r="K246" i="2" s="1"/>
  <c r="AC245" i="2"/>
  <c r="E245" i="2" s="1"/>
  <c r="H246" i="2" l="1"/>
  <c r="J246" i="2"/>
  <c r="L246" i="2"/>
  <c r="I246" i="2"/>
  <c r="R246" i="2" l="1"/>
  <c r="Y246" i="2" s="1"/>
  <c r="Q246" i="2"/>
  <c r="X246" i="2" s="1"/>
  <c r="P246" i="2"/>
  <c r="W246" i="2" s="1"/>
  <c r="S246" i="2"/>
  <c r="Z246" i="2" s="1"/>
  <c r="T246" i="2"/>
  <c r="AA246" i="2" s="1"/>
  <c r="O246" i="2"/>
  <c r="V246" i="2" s="1"/>
  <c r="AE246" i="2" l="1"/>
  <c r="F246" i="2" s="1"/>
  <c r="K247" i="2" s="1"/>
  <c r="AC246" i="2"/>
  <c r="E246" i="2" s="1"/>
  <c r="I247" i="2" l="1"/>
  <c r="L247" i="2"/>
  <c r="J247" i="2"/>
  <c r="H247" i="2"/>
  <c r="R247" i="2" l="1"/>
  <c r="Y247" i="2" s="1"/>
  <c r="Q247" i="2"/>
  <c r="X247" i="2" s="1"/>
  <c r="O247" i="2"/>
  <c r="V247" i="2" s="1"/>
  <c r="T247" i="2"/>
  <c r="AA247" i="2" s="1"/>
  <c r="S247" i="2"/>
  <c r="Z247" i="2" s="1"/>
  <c r="P247" i="2"/>
  <c r="W247" i="2" s="1"/>
  <c r="AE247" i="2" l="1"/>
  <c r="F247" i="2" s="1"/>
  <c r="K248" i="2" s="1"/>
  <c r="AC247" i="2"/>
  <c r="E247" i="2" s="1"/>
  <c r="J248" i="2" l="1"/>
  <c r="I248" i="2"/>
  <c r="H248" i="2"/>
  <c r="L248" i="2"/>
  <c r="T248" i="2" l="1"/>
  <c r="AA248" i="2" s="1"/>
  <c r="O248" i="2"/>
  <c r="V248" i="2" s="1"/>
  <c r="R248" i="2"/>
  <c r="Y248" i="2" s="1"/>
  <c r="S248" i="2"/>
  <c r="Z248" i="2" s="1"/>
  <c r="P248" i="2"/>
  <c r="W248" i="2" s="1"/>
  <c r="Q248" i="2"/>
  <c r="X248" i="2" s="1"/>
  <c r="AE248" i="2" l="1"/>
  <c r="F248" i="2" s="1"/>
  <c r="K249" i="2" s="1"/>
  <c r="AC248" i="2"/>
  <c r="E248" i="2" s="1"/>
  <c r="J249" i="2" l="1"/>
  <c r="H249" i="2"/>
  <c r="I249" i="2"/>
  <c r="L249" i="2"/>
  <c r="R249" i="2" l="1"/>
  <c r="Y249" i="2" s="1"/>
  <c r="O249" i="2"/>
  <c r="V249" i="2" s="1"/>
  <c r="T249" i="2"/>
  <c r="AA249" i="2" s="1"/>
  <c r="S249" i="2"/>
  <c r="Z249" i="2" s="1"/>
  <c r="P249" i="2"/>
  <c r="W249" i="2" s="1"/>
  <c r="Q249" i="2"/>
  <c r="X249" i="2" s="1"/>
  <c r="AC249" i="2" l="1"/>
  <c r="E249" i="2" s="1"/>
  <c r="AE249" i="2"/>
  <c r="F249" i="2" s="1"/>
  <c r="K250" i="2" s="1"/>
  <c r="H250" i="2" l="1"/>
  <c r="J250" i="2"/>
  <c r="I250" i="2"/>
  <c r="L250" i="2"/>
  <c r="S250" i="2" l="1"/>
  <c r="Z250" i="2" s="1"/>
  <c r="P250" i="2"/>
  <c r="W250" i="2" s="1"/>
  <c r="Q250" i="2"/>
  <c r="X250" i="2" s="1"/>
  <c r="T250" i="2"/>
  <c r="AA250" i="2" s="1"/>
  <c r="O250" i="2"/>
  <c r="V250" i="2" s="1"/>
  <c r="R250" i="2"/>
  <c r="Y250" i="2" s="1"/>
  <c r="AC250" i="2" l="1"/>
  <c r="E250" i="2" s="1"/>
  <c r="AE250" i="2"/>
  <c r="F250" i="2" s="1"/>
  <c r="K251" i="2" s="1"/>
  <c r="H251" i="2" l="1"/>
  <c r="I251" i="2"/>
  <c r="J251" i="2"/>
  <c r="L251" i="2"/>
  <c r="S251" i="2" l="1"/>
  <c r="Z251" i="2" s="1"/>
  <c r="Q251" i="2"/>
  <c r="X251" i="2" s="1"/>
  <c r="P251" i="2"/>
  <c r="W251" i="2" s="1"/>
  <c r="O251" i="2"/>
  <c r="V251" i="2" s="1"/>
  <c r="T251" i="2"/>
  <c r="AA251" i="2" s="1"/>
  <c r="R251" i="2"/>
  <c r="Y251" i="2" s="1"/>
  <c r="AE251" i="2" l="1"/>
  <c r="F251" i="2" s="1"/>
  <c r="K252" i="2" s="1"/>
  <c r="AC251" i="2"/>
  <c r="E251" i="2" s="1"/>
  <c r="L252" i="2" l="1"/>
  <c r="H252" i="2"/>
  <c r="I252" i="2"/>
  <c r="J252" i="2"/>
  <c r="R252" i="2" l="1"/>
  <c r="Y252" i="2" s="1"/>
  <c r="P252" i="2"/>
  <c r="W252" i="2" s="1"/>
  <c r="Q252" i="2"/>
  <c r="X252" i="2" s="1"/>
  <c r="T252" i="2"/>
  <c r="AA252" i="2" s="1"/>
  <c r="O252" i="2"/>
  <c r="V252" i="2" s="1"/>
  <c r="S252" i="2"/>
  <c r="Z252" i="2" s="1"/>
  <c r="AE252" i="2" l="1"/>
  <c r="F252" i="2" s="1"/>
  <c r="K253" i="2" s="1"/>
  <c r="AC252" i="2"/>
  <c r="E252" i="2" s="1"/>
  <c r="I253" i="2" l="1"/>
  <c r="J253" i="2"/>
  <c r="H253" i="2"/>
  <c r="L253" i="2"/>
  <c r="R253" i="2" l="1"/>
  <c r="Y253" i="2" s="1"/>
  <c r="Q253" i="2"/>
  <c r="X253" i="2" s="1"/>
  <c r="S253" i="2"/>
  <c r="Z253" i="2" s="1"/>
  <c r="T253" i="2"/>
  <c r="AA253" i="2" s="1"/>
  <c r="O253" i="2"/>
  <c r="V253" i="2" s="1"/>
  <c r="P253" i="2"/>
  <c r="W253" i="2" s="1"/>
  <c r="AC253" i="2" l="1"/>
  <c r="E253" i="2" s="1"/>
  <c r="AE253" i="2"/>
  <c r="F253" i="2" s="1"/>
  <c r="K254" i="2" s="1"/>
  <c r="I254" i="2" l="1"/>
  <c r="J254" i="2"/>
  <c r="L254" i="2"/>
  <c r="H254" i="2"/>
  <c r="O254" i="2" l="1"/>
  <c r="V254" i="2" s="1"/>
  <c r="T254" i="2"/>
  <c r="AA254" i="2" s="1"/>
  <c r="Q254" i="2"/>
  <c r="X254" i="2" s="1"/>
  <c r="S254" i="2"/>
  <c r="Z254" i="2" s="1"/>
  <c r="P254" i="2"/>
  <c r="W254" i="2" s="1"/>
  <c r="R254" i="2"/>
  <c r="Y254" i="2" s="1"/>
  <c r="AC254" i="2" l="1"/>
  <c r="E254" i="2" s="1"/>
  <c r="AE254" i="2"/>
  <c r="F254" i="2" s="1"/>
  <c r="K255" i="2" s="1"/>
  <c r="L255" i="2" l="1"/>
  <c r="J255" i="2"/>
  <c r="H255" i="2"/>
  <c r="I255" i="2"/>
  <c r="S255" i="2" l="1"/>
  <c r="Z255" i="2" s="1"/>
  <c r="P255" i="2"/>
  <c r="W255" i="2" s="1"/>
  <c r="O255" i="2"/>
  <c r="V255" i="2" s="1"/>
  <c r="T255" i="2"/>
  <c r="AA255" i="2" s="1"/>
  <c r="Q255" i="2"/>
  <c r="X255" i="2" s="1"/>
  <c r="R255" i="2"/>
  <c r="Y255" i="2" s="1"/>
  <c r="AC255" i="2" l="1"/>
  <c r="E255" i="2" s="1"/>
  <c r="AE255" i="2"/>
  <c r="F255" i="2" s="1"/>
  <c r="K256" i="2" s="1"/>
  <c r="J256" i="2" l="1"/>
  <c r="I256" i="2"/>
  <c r="H256" i="2"/>
  <c r="L256" i="2"/>
  <c r="S256" i="2" l="1"/>
  <c r="Z256" i="2" s="1"/>
  <c r="T256" i="2"/>
  <c r="AA256" i="2" s="1"/>
  <c r="O256" i="2"/>
  <c r="V256" i="2" s="1"/>
  <c r="P256" i="2"/>
  <c r="W256" i="2" s="1"/>
  <c r="Q256" i="2"/>
  <c r="X256" i="2" s="1"/>
  <c r="R256" i="2"/>
  <c r="Y256" i="2" s="1"/>
  <c r="AC256" i="2" l="1"/>
  <c r="E256" i="2" s="1"/>
  <c r="AE256" i="2"/>
  <c r="F256" i="2" s="1"/>
  <c r="K257" i="2" s="1"/>
  <c r="J257" i="2" l="1"/>
  <c r="L257" i="2"/>
  <c r="I257" i="2"/>
  <c r="H257" i="2"/>
  <c r="O257" i="2" l="1"/>
  <c r="V257" i="2" s="1"/>
  <c r="T257" i="2"/>
  <c r="AA257" i="2" s="1"/>
  <c r="P257" i="2"/>
  <c r="W257" i="2" s="1"/>
  <c r="S257" i="2"/>
  <c r="Z257" i="2" s="1"/>
  <c r="Q257" i="2"/>
  <c r="X257" i="2" s="1"/>
  <c r="R257" i="2"/>
  <c r="Y257" i="2" s="1"/>
  <c r="AE257" i="2" l="1"/>
  <c r="F257" i="2" s="1"/>
  <c r="K258" i="2" s="1"/>
  <c r="AC257" i="2"/>
  <c r="E257" i="2" s="1"/>
  <c r="H258" i="2" l="1"/>
  <c r="J258" i="2"/>
  <c r="I258" i="2"/>
  <c r="L258" i="2"/>
  <c r="R258" i="2" l="1"/>
  <c r="Y258" i="2" s="1"/>
  <c r="Q258" i="2"/>
  <c r="X258" i="2" s="1"/>
  <c r="S258" i="2"/>
  <c r="Z258" i="2" s="1"/>
  <c r="P258" i="2"/>
  <c r="W258" i="2" s="1"/>
  <c r="T258" i="2"/>
  <c r="AA258" i="2" s="1"/>
  <c r="O258" i="2"/>
  <c r="V258" i="2" s="1"/>
  <c r="AC258" i="2" l="1"/>
  <c r="E258" i="2" s="1"/>
  <c r="AE258" i="2"/>
  <c r="F258" i="2" s="1"/>
  <c r="K259" i="2" s="1"/>
  <c r="J259" i="2" l="1"/>
  <c r="H259" i="2"/>
  <c r="L259" i="2"/>
  <c r="I259" i="2"/>
  <c r="T259" i="2" l="1"/>
  <c r="AA259" i="2" s="1"/>
  <c r="O259" i="2"/>
  <c r="V259" i="2" s="1"/>
  <c r="P259" i="2"/>
  <c r="W259" i="2" s="1"/>
  <c r="S259" i="2"/>
  <c r="Z259" i="2" s="1"/>
  <c r="Q259" i="2"/>
  <c r="X259" i="2" s="1"/>
  <c r="R259" i="2"/>
  <c r="Y259" i="2" s="1"/>
  <c r="AC259" i="2" l="1"/>
  <c r="E259" i="2" s="1"/>
  <c r="AE259" i="2"/>
  <c r="F259" i="2" s="1"/>
  <c r="K260" i="2" s="1"/>
  <c r="J260" i="2" l="1"/>
  <c r="H260" i="2"/>
  <c r="L260" i="2"/>
  <c r="I260" i="2"/>
  <c r="P260" i="2" l="1"/>
  <c r="W260" i="2" s="1"/>
  <c r="Q260" i="2"/>
  <c r="X260" i="2" s="1"/>
  <c r="S260" i="2"/>
  <c r="Z260" i="2" s="1"/>
  <c r="O260" i="2"/>
  <c r="V260" i="2" s="1"/>
  <c r="T260" i="2"/>
  <c r="AA260" i="2" s="1"/>
  <c r="R260" i="2"/>
  <c r="Y260" i="2" s="1"/>
  <c r="AC260" i="2" l="1"/>
  <c r="E260" i="2" s="1"/>
  <c r="AE260" i="2"/>
  <c r="F260" i="2" s="1"/>
  <c r="K261" i="2" s="1"/>
  <c r="H261" i="2" l="1"/>
  <c r="L261" i="2"/>
  <c r="I261" i="2"/>
  <c r="J261" i="2"/>
  <c r="Q261" i="2" l="1"/>
  <c r="X261" i="2" s="1"/>
  <c r="P261" i="2"/>
  <c r="W261" i="2" s="1"/>
  <c r="S261" i="2"/>
  <c r="Z261" i="2" s="1"/>
  <c r="O261" i="2"/>
  <c r="V261" i="2" s="1"/>
  <c r="T261" i="2"/>
  <c r="AA261" i="2" s="1"/>
  <c r="R261" i="2"/>
  <c r="Y261" i="2" s="1"/>
  <c r="AC261" i="2" l="1"/>
  <c r="E261" i="2" s="1"/>
  <c r="AE261" i="2"/>
  <c r="F261" i="2" s="1"/>
  <c r="K262" i="2" s="1"/>
  <c r="H262" i="2" l="1"/>
  <c r="I262" i="2"/>
  <c r="L262" i="2"/>
  <c r="J262" i="2"/>
  <c r="Q262" i="2" l="1"/>
  <c r="X262" i="2" s="1"/>
  <c r="S262" i="2"/>
  <c r="Z262" i="2" s="1"/>
  <c r="P262" i="2"/>
  <c r="W262" i="2" s="1"/>
  <c r="T262" i="2"/>
  <c r="AA262" i="2" s="1"/>
  <c r="O262" i="2"/>
  <c r="V262" i="2" s="1"/>
  <c r="R262" i="2"/>
  <c r="Y262" i="2" s="1"/>
  <c r="AE262" i="2" l="1"/>
  <c r="F262" i="2" s="1"/>
  <c r="K263" i="2" s="1"/>
  <c r="AC262" i="2"/>
  <c r="E262" i="2" s="1"/>
  <c r="H263" i="2" l="1"/>
  <c r="L263" i="2"/>
  <c r="J263" i="2"/>
  <c r="I263" i="2"/>
  <c r="R263" i="2" l="1"/>
  <c r="Y263" i="2" s="1"/>
  <c r="P263" i="2"/>
  <c r="W263" i="2" s="1"/>
  <c r="Q263" i="2"/>
  <c r="X263" i="2" s="1"/>
  <c r="S263" i="2"/>
  <c r="Z263" i="2" s="1"/>
  <c r="T263" i="2"/>
  <c r="AA263" i="2" s="1"/>
  <c r="O263" i="2"/>
  <c r="V263" i="2" s="1"/>
  <c r="AC263" i="2" l="1"/>
  <c r="E263" i="2" s="1"/>
  <c r="AE263" i="2"/>
  <c r="F263" i="2" s="1"/>
  <c r="K264" i="2" s="1"/>
  <c r="I264" i="2" l="1"/>
  <c r="H264" i="2"/>
  <c r="J264" i="2"/>
  <c r="L264" i="2"/>
  <c r="Q264" i="2" l="1"/>
  <c r="X264" i="2" s="1"/>
  <c r="S264" i="2"/>
  <c r="Z264" i="2" s="1"/>
  <c r="P264" i="2"/>
  <c r="W264" i="2" s="1"/>
  <c r="O264" i="2"/>
  <c r="V264" i="2" s="1"/>
  <c r="T264" i="2"/>
  <c r="AA264" i="2" s="1"/>
  <c r="R264" i="2"/>
  <c r="Y264" i="2" s="1"/>
  <c r="AE264" i="2" l="1"/>
  <c r="F264" i="2" s="1"/>
  <c r="K265" i="2" s="1"/>
  <c r="AC264" i="2"/>
  <c r="E264" i="2" s="1"/>
  <c r="H265" i="2" l="1"/>
  <c r="I265" i="2"/>
  <c r="J265" i="2"/>
  <c r="L265" i="2"/>
  <c r="R265" i="2" l="1"/>
  <c r="Y265" i="2" s="1"/>
  <c r="P265" i="2"/>
  <c r="W265" i="2" s="1"/>
  <c r="S265" i="2"/>
  <c r="Z265" i="2" s="1"/>
  <c r="Q265" i="2"/>
  <c r="X265" i="2" s="1"/>
  <c r="O265" i="2"/>
  <c r="V265" i="2" s="1"/>
  <c r="T265" i="2"/>
  <c r="AA265" i="2" s="1"/>
  <c r="AE265" i="2" l="1"/>
  <c r="F265" i="2" s="1"/>
  <c r="K266" i="2" s="1"/>
  <c r="AC265" i="2"/>
  <c r="E265" i="2" s="1"/>
  <c r="H266" i="2" l="1"/>
  <c r="L266" i="2"/>
  <c r="I266" i="2"/>
  <c r="J266" i="2"/>
  <c r="R266" i="2" l="1"/>
  <c r="Y266" i="2" s="1"/>
  <c r="S266" i="2"/>
  <c r="Z266" i="2" s="1"/>
  <c r="Q266" i="2"/>
  <c r="X266" i="2" s="1"/>
  <c r="P266" i="2"/>
  <c r="W266" i="2" s="1"/>
  <c r="O266" i="2"/>
  <c r="V266" i="2" s="1"/>
  <c r="T266" i="2"/>
  <c r="AA266" i="2" s="1"/>
  <c r="AC266" i="2" l="1"/>
  <c r="E266" i="2" s="1"/>
  <c r="AE266" i="2"/>
  <c r="F266" i="2" s="1"/>
  <c r="K267" i="2" s="1"/>
  <c r="H267" i="2" l="1"/>
  <c r="L267" i="2"/>
  <c r="J267" i="2"/>
  <c r="I267" i="2"/>
  <c r="Q267" i="2" l="1"/>
  <c r="X267" i="2" s="1"/>
  <c r="P267" i="2"/>
  <c r="W267" i="2" s="1"/>
  <c r="S267" i="2"/>
  <c r="Z267" i="2" s="1"/>
  <c r="O267" i="2"/>
  <c r="V267" i="2" s="1"/>
  <c r="T267" i="2"/>
  <c r="AA267" i="2" s="1"/>
  <c r="R267" i="2"/>
  <c r="Y267" i="2" s="1"/>
  <c r="AC267" i="2" l="1"/>
  <c r="E267" i="2" s="1"/>
  <c r="AE267" i="2"/>
  <c r="F267" i="2" s="1"/>
  <c r="K268" i="2" s="1"/>
  <c r="L268" i="2" l="1"/>
  <c r="J268" i="2"/>
  <c r="H268" i="2"/>
  <c r="I268" i="2"/>
  <c r="S268" i="2" l="1"/>
  <c r="Z268" i="2" s="1"/>
  <c r="P268" i="2"/>
  <c r="W268" i="2" s="1"/>
  <c r="T268" i="2"/>
  <c r="AA268" i="2" s="1"/>
  <c r="O268" i="2"/>
  <c r="V268" i="2" s="1"/>
  <c r="Q268" i="2"/>
  <c r="X268" i="2" s="1"/>
  <c r="R268" i="2"/>
  <c r="Y268" i="2" s="1"/>
  <c r="AE268" i="2" l="1"/>
  <c r="F268" i="2" s="1"/>
  <c r="K269" i="2" s="1"/>
  <c r="AC268" i="2"/>
  <c r="E268" i="2" s="1"/>
  <c r="J269" i="2" l="1"/>
  <c r="I269" i="2"/>
  <c r="H269" i="2"/>
  <c r="L269" i="2"/>
  <c r="O269" i="2" l="1"/>
  <c r="V269" i="2" s="1"/>
  <c r="T269" i="2"/>
  <c r="AA269" i="2" s="1"/>
  <c r="R269" i="2"/>
  <c r="Y269" i="2" s="1"/>
  <c r="S269" i="2"/>
  <c r="Z269" i="2" s="1"/>
  <c r="P269" i="2"/>
  <c r="W269" i="2" s="1"/>
  <c r="Q269" i="2"/>
  <c r="X269" i="2" s="1"/>
  <c r="AE269" i="2" l="1"/>
  <c r="F269" i="2" s="1"/>
  <c r="K270" i="2" s="1"/>
  <c r="AC269" i="2"/>
  <c r="E269" i="2" s="1"/>
  <c r="J270" i="2" l="1"/>
  <c r="H270" i="2"/>
  <c r="I270" i="2"/>
  <c r="L270" i="2"/>
  <c r="R270" i="2" l="1"/>
  <c r="Y270" i="2" s="1"/>
  <c r="P270" i="2"/>
  <c r="W270" i="2" s="1"/>
  <c r="S270" i="2"/>
  <c r="Z270" i="2" s="1"/>
  <c r="O270" i="2"/>
  <c r="V270" i="2" s="1"/>
  <c r="T270" i="2"/>
  <c r="AA270" i="2" s="1"/>
  <c r="Q270" i="2"/>
  <c r="X270" i="2" s="1"/>
  <c r="AE270" i="2" l="1"/>
  <c r="F270" i="2" s="1"/>
  <c r="K271" i="2" s="1"/>
  <c r="AC270" i="2"/>
  <c r="E270" i="2" s="1"/>
  <c r="I271" i="2" l="1"/>
  <c r="J271" i="2"/>
  <c r="L271" i="2"/>
  <c r="H271" i="2"/>
  <c r="R271" i="2" l="1"/>
  <c r="Y271" i="2" s="1"/>
  <c r="S271" i="2"/>
  <c r="Z271" i="2" s="1"/>
  <c r="T271" i="2"/>
  <c r="AA271" i="2" s="1"/>
  <c r="O271" i="2"/>
  <c r="V271" i="2" s="1"/>
  <c r="Q271" i="2"/>
  <c r="X271" i="2" s="1"/>
  <c r="P271" i="2"/>
  <c r="W271" i="2" s="1"/>
  <c r="AC271" i="2" l="1"/>
  <c r="E271" i="2" s="1"/>
  <c r="AE271" i="2"/>
  <c r="F271" i="2" s="1"/>
  <c r="K272" i="2" s="1"/>
  <c r="L272" i="2" l="1"/>
  <c r="I272" i="2"/>
  <c r="J272" i="2"/>
  <c r="H272" i="2"/>
  <c r="Q272" i="2" l="1"/>
  <c r="X272" i="2" s="1"/>
  <c r="T272" i="2"/>
  <c r="AA272" i="2" s="1"/>
  <c r="O272" i="2"/>
  <c r="V272" i="2" s="1"/>
  <c r="P272" i="2"/>
  <c r="W272" i="2" s="1"/>
  <c r="S272" i="2"/>
  <c r="Z272" i="2" s="1"/>
  <c r="R272" i="2"/>
  <c r="Y272" i="2" s="1"/>
  <c r="AC272" i="2" l="1"/>
  <c r="E272" i="2" s="1"/>
  <c r="AE272" i="2"/>
  <c r="F272" i="2" s="1"/>
  <c r="K273" i="2" s="1"/>
  <c r="J273" i="2" l="1"/>
  <c r="L273" i="2"/>
  <c r="H273" i="2"/>
  <c r="I273" i="2"/>
  <c r="P273" i="2" l="1"/>
  <c r="W273" i="2" s="1"/>
  <c r="S273" i="2"/>
  <c r="Z273" i="2" s="1"/>
  <c r="O273" i="2"/>
  <c r="V273" i="2" s="1"/>
  <c r="T273" i="2"/>
  <c r="AA273" i="2" s="1"/>
  <c r="Q273" i="2"/>
  <c r="X273" i="2" s="1"/>
  <c r="R273" i="2"/>
  <c r="Y273" i="2" s="1"/>
  <c r="AE273" i="2" l="1"/>
  <c r="F273" i="2" s="1"/>
  <c r="K274" i="2" s="1"/>
  <c r="AC273" i="2"/>
  <c r="E273" i="2" s="1"/>
  <c r="J274" i="2" l="1"/>
  <c r="L274" i="2"/>
  <c r="I274" i="2"/>
  <c r="H274" i="2"/>
  <c r="R274" i="2" l="1"/>
  <c r="Y274" i="2" s="1"/>
  <c r="P274" i="2"/>
  <c r="W274" i="2" s="1"/>
  <c r="T274" i="2"/>
  <c r="AA274" i="2" s="1"/>
  <c r="O274" i="2"/>
  <c r="V274" i="2" s="1"/>
  <c r="S274" i="2"/>
  <c r="Z274" i="2" s="1"/>
  <c r="Q274" i="2"/>
  <c r="X274" i="2" s="1"/>
  <c r="AC274" i="2" l="1"/>
  <c r="E274" i="2" s="1"/>
  <c r="AE274" i="2"/>
  <c r="F274" i="2" s="1"/>
  <c r="K275" i="2" s="1"/>
  <c r="J275" i="2" l="1"/>
  <c r="H275" i="2"/>
  <c r="L275" i="2"/>
  <c r="I275" i="2"/>
  <c r="Q275" i="2" l="1"/>
  <c r="X275" i="2" s="1"/>
  <c r="P275" i="2"/>
  <c r="W275" i="2" s="1"/>
  <c r="S275" i="2"/>
  <c r="Z275" i="2" s="1"/>
  <c r="O275" i="2"/>
  <c r="V275" i="2" s="1"/>
  <c r="T275" i="2"/>
  <c r="AA275" i="2" s="1"/>
  <c r="R275" i="2"/>
  <c r="Y275" i="2" s="1"/>
  <c r="AC275" i="2" l="1"/>
  <c r="E275" i="2" s="1"/>
  <c r="AE275" i="2"/>
  <c r="F275" i="2" s="1"/>
  <c r="K276" i="2" s="1"/>
  <c r="I276" i="2" l="1"/>
  <c r="L276" i="2"/>
  <c r="H276" i="2"/>
  <c r="J276" i="2"/>
  <c r="R276" i="2" l="1"/>
  <c r="Y276" i="2" s="1"/>
  <c r="Q276" i="2"/>
  <c r="X276" i="2" s="1"/>
  <c r="T276" i="2"/>
  <c r="AA276" i="2" s="1"/>
  <c r="O276" i="2"/>
  <c r="V276" i="2" s="1"/>
  <c r="S276" i="2"/>
  <c r="Z276" i="2" s="1"/>
  <c r="P276" i="2"/>
  <c r="W276" i="2" s="1"/>
  <c r="AC276" i="2" l="1"/>
  <c r="E276" i="2" s="1"/>
  <c r="AE276" i="2"/>
  <c r="F276" i="2" s="1"/>
  <c r="K277" i="2" s="1"/>
  <c r="I277" i="2" l="1"/>
  <c r="J277" i="2"/>
  <c r="H277" i="2"/>
  <c r="L277" i="2"/>
  <c r="P277" i="2" l="1"/>
  <c r="W277" i="2" s="1"/>
  <c r="S277" i="2"/>
  <c r="Z277" i="2" s="1"/>
  <c r="T277" i="2"/>
  <c r="AA277" i="2" s="1"/>
  <c r="O277" i="2"/>
  <c r="V277" i="2" s="1"/>
  <c r="Q277" i="2"/>
  <c r="X277" i="2" s="1"/>
  <c r="R277" i="2"/>
  <c r="Y277" i="2" s="1"/>
  <c r="AC277" i="2" l="1"/>
  <c r="E277" i="2" s="1"/>
  <c r="AE277" i="2"/>
  <c r="F277" i="2" s="1"/>
  <c r="K278" i="2" s="1"/>
  <c r="J278" i="2" l="1"/>
  <c r="I278" i="2"/>
  <c r="H278" i="2"/>
  <c r="L278" i="2"/>
  <c r="P278" i="2" l="1"/>
  <c r="W278" i="2" s="1"/>
  <c r="S278" i="2"/>
  <c r="Z278" i="2" s="1"/>
  <c r="O278" i="2"/>
  <c r="V278" i="2" s="1"/>
  <c r="T278" i="2"/>
  <c r="AA278" i="2" s="1"/>
  <c r="Q278" i="2"/>
  <c r="X278" i="2" s="1"/>
  <c r="R278" i="2"/>
  <c r="Y278" i="2" s="1"/>
  <c r="AE278" i="2" l="1"/>
  <c r="F278" i="2" s="1"/>
  <c r="K279" i="2" s="1"/>
  <c r="AC278" i="2"/>
  <c r="E278" i="2" s="1"/>
  <c r="J279" i="2" l="1"/>
  <c r="L279" i="2"/>
  <c r="H279" i="2"/>
  <c r="I279" i="2"/>
  <c r="O279" i="2" l="1"/>
  <c r="V279" i="2" s="1"/>
  <c r="T279" i="2"/>
  <c r="AA279" i="2" s="1"/>
  <c r="R279" i="2"/>
  <c r="Y279" i="2" s="1"/>
  <c r="P279" i="2"/>
  <c r="W279" i="2" s="1"/>
  <c r="S279" i="2"/>
  <c r="Z279" i="2" s="1"/>
  <c r="Q279" i="2"/>
  <c r="X279" i="2" s="1"/>
  <c r="AC279" i="2" l="1"/>
  <c r="E279" i="2" s="1"/>
  <c r="AE279" i="2"/>
  <c r="F279" i="2" s="1"/>
  <c r="K280" i="2" s="1"/>
  <c r="J280" i="2" l="1"/>
  <c r="H280" i="2"/>
  <c r="L280" i="2"/>
  <c r="I280" i="2"/>
  <c r="P280" i="2" l="1"/>
  <c r="W280" i="2" s="1"/>
  <c r="S280" i="2"/>
  <c r="Z280" i="2" s="1"/>
  <c r="T280" i="2"/>
  <c r="AA280" i="2" s="1"/>
  <c r="O280" i="2"/>
  <c r="V280" i="2" s="1"/>
  <c r="Q280" i="2"/>
  <c r="X280" i="2" s="1"/>
  <c r="R280" i="2"/>
  <c r="Y280" i="2" s="1"/>
  <c r="AE280" i="2" l="1"/>
  <c r="F280" i="2" s="1"/>
  <c r="K281" i="2" s="1"/>
  <c r="AC280" i="2"/>
  <c r="E280" i="2" s="1"/>
  <c r="L281" i="2" l="1"/>
  <c r="H281" i="2"/>
  <c r="J281" i="2"/>
  <c r="I281" i="2"/>
  <c r="R281" i="2" l="1"/>
  <c r="Y281" i="2" s="1"/>
  <c r="T281" i="2"/>
  <c r="AA281" i="2" s="1"/>
  <c r="O281" i="2"/>
  <c r="V281" i="2" s="1"/>
  <c r="P281" i="2"/>
  <c r="W281" i="2" s="1"/>
  <c r="Q281" i="2"/>
  <c r="X281" i="2" s="1"/>
  <c r="S281" i="2"/>
  <c r="Z281" i="2" s="1"/>
  <c r="AC281" i="2" l="1"/>
  <c r="E281" i="2" s="1"/>
  <c r="AE281" i="2"/>
  <c r="F281" i="2" s="1"/>
  <c r="K282" i="2" s="1"/>
  <c r="L282" i="2" l="1"/>
  <c r="H282" i="2"/>
  <c r="I282" i="2"/>
  <c r="J282" i="2"/>
  <c r="Q282" i="2" l="1"/>
  <c r="X282" i="2" s="1"/>
  <c r="P282" i="2"/>
  <c r="W282" i="2" s="1"/>
  <c r="T282" i="2"/>
  <c r="AA282" i="2" s="1"/>
  <c r="O282" i="2"/>
  <c r="V282" i="2" s="1"/>
  <c r="S282" i="2"/>
  <c r="Z282" i="2" s="1"/>
  <c r="R282" i="2"/>
  <c r="Y282" i="2" s="1"/>
  <c r="AE282" i="2" l="1"/>
  <c r="F282" i="2" s="1"/>
  <c r="K283" i="2" s="1"/>
  <c r="AC282" i="2"/>
  <c r="E282" i="2" s="1"/>
  <c r="L283" i="2" l="1"/>
  <c r="J283" i="2"/>
  <c r="I283" i="2"/>
  <c r="H283" i="2"/>
  <c r="R283" i="2" l="1"/>
  <c r="Y283" i="2" s="1"/>
  <c r="Q283" i="2"/>
  <c r="X283" i="2" s="1"/>
  <c r="O283" i="2"/>
  <c r="V283" i="2" s="1"/>
  <c r="T283" i="2"/>
  <c r="AA283" i="2" s="1"/>
  <c r="P283" i="2"/>
  <c r="W283" i="2" s="1"/>
  <c r="S283" i="2"/>
  <c r="Z283" i="2" s="1"/>
  <c r="AC283" i="2" l="1"/>
  <c r="E283" i="2" s="1"/>
  <c r="AE283" i="2"/>
  <c r="F283" i="2" s="1"/>
  <c r="K284" i="2" s="1"/>
  <c r="L284" i="2" l="1"/>
  <c r="H284" i="2"/>
  <c r="J284" i="2"/>
  <c r="I284" i="2"/>
  <c r="Q284" i="2" l="1"/>
  <c r="X284" i="2" s="1"/>
  <c r="P284" i="2"/>
  <c r="W284" i="2" s="1"/>
  <c r="T284" i="2"/>
  <c r="AA284" i="2" s="1"/>
  <c r="O284" i="2"/>
  <c r="V284" i="2" s="1"/>
  <c r="S284" i="2"/>
  <c r="Z284" i="2" s="1"/>
  <c r="R284" i="2"/>
  <c r="Y284" i="2" s="1"/>
  <c r="AE284" i="2" l="1"/>
  <c r="F284" i="2" s="1"/>
  <c r="K285" i="2" s="1"/>
  <c r="AC284" i="2"/>
  <c r="E284" i="2" s="1"/>
  <c r="L285" i="2" l="1"/>
  <c r="J285" i="2"/>
  <c r="H285" i="2"/>
  <c r="I285" i="2"/>
  <c r="R285" i="2" l="1"/>
  <c r="Y285" i="2" s="1"/>
  <c r="Q285" i="2"/>
  <c r="X285" i="2" s="1"/>
  <c r="P285" i="2"/>
  <c r="W285" i="2" s="1"/>
  <c r="O285" i="2"/>
  <c r="V285" i="2" s="1"/>
  <c r="T285" i="2"/>
  <c r="AA285" i="2" s="1"/>
  <c r="S285" i="2"/>
  <c r="Z285" i="2" s="1"/>
  <c r="AE285" i="2" l="1"/>
  <c r="F285" i="2" s="1"/>
  <c r="K286" i="2" s="1"/>
  <c r="AC285" i="2"/>
  <c r="E285" i="2" s="1"/>
  <c r="L286" i="2" l="1"/>
  <c r="I286" i="2"/>
  <c r="J286" i="2"/>
  <c r="H286" i="2"/>
  <c r="R286" i="2" l="1"/>
  <c r="Y286" i="2" s="1"/>
  <c r="Q286" i="2"/>
  <c r="X286" i="2" s="1"/>
  <c r="O286" i="2"/>
  <c r="V286" i="2" s="1"/>
  <c r="T286" i="2"/>
  <c r="AA286" i="2" s="1"/>
  <c r="P286" i="2"/>
  <c r="W286" i="2" s="1"/>
  <c r="S286" i="2"/>
  <c r="Z286" i="2" s="1"/>
  <c r="AE286" i="2" l="1"/>
  <c r="F286" i="2" s="1"/>
  <c r="K287" i="2" s="1"/>
  <c r="AC286" i="2"/>
  <c r="E286" i="2" s="1"/>
  <c r="L287" i="2" l="1"/>
  <c r="I287" i="2"/>
  <c r="J287" i="2"/>
  <c r="H287" i="2"/>
  <c r="R287" i="2" l="1"/>
  <c r="Y287" i="2" s="1"/>
  <c r="Q287" i="2"/>
  <c r="X287" i="2" s="1"/>
  <c r="T287" i="2"/>
  <c r="AA287" i="2" s="1"/>
  <c r="O287" i="2"/>
  <c r="V287" i="2" s="1"/>
  <c r="P287" i="2"/>
  <c r="W287" i="2" s="1"/>
  <c r="S287" i="2"/>
  <c r="Z287" i="2" s="1"/>
  <c r="AC287" i="2" l="1"/>
  <c r="E287" i="2" s="1"/>
  <c r="AE287" i="2"/>
  <c r="F287" i="2" s="1"/>
  <c r="K288" i="2" s="1"/>
  <c r="L288" i="2" l="1"/>
  <c r="J288" i="2"/>
  <c r="I288" i="2"/>
  <c r="H288" i="2"/>
  <c r="T288" i="2" l="1"/>
  <c r="AA288" i="2" s="1"/>
  <c r="O288" i="2"/>
  <c r="V288" i="2" s="1"/>
  <c r="P288" i="2"/>
  <c r="W288" i="2" s="1"/>
  <c r="Q288" i="2"/>
  <c r="X288" i="2" s="1"/>
  <c r="S288" i="2"/>
  <c r="Z288" i="2" s="1"/>
  <c r="R288" i="2"/>
  <c r="Y288" i="2" s="1"/>
  <c r="AC288" i="2" l="1"/>
  <c r="E288" i="2" s="1"/>
  <c r="AE288" i="2"/>
  <c r="F288" i="2" s="1"/>
  <c r="K289" i="2" s="1"/>
  <c r="L289" i="2" l="1"/>
  <c r="J289" i="2"/>
  <c r="I289" i="2"/>
  <c r="H289" i="2"/>
  <c r="O289" i="2" l="1"/>
  <c r="V289" i="2" s="1"/>
  <c r="T289" i="2"/>
  <c r="AA289" i="2" s="1"/>
  <c r="P289" i="2"/>
  <c r="W289" i="2" s="1"/>
  <c r="Q289" i="2"/>
  <c r="X289" i="2" s="1"/>
  <c r="S289" i="2"/>
  <c r="Z289" i="2" s="1"/>
  <c r="R289" i="2"/>
  <c r="Y289" i="2" s="1"/>
  <c r="AE289" i="2" l="1"/>
  <c r="F289" i="2" s="1"/>
  <c r="K290" i="2" s="1"/>
  <c r="AC289" i="2"/>
  <c r="E289" i="2" s="1"/>
  <c r="L290" i="2" l="1"/>
  <c r="I290" i="2"/>
  <c r="H290" i="2"/>
  <c r="J290" i="2"/>
  <c r="R290" i="2" l="1"/>
  <c r="Y290" i="2" s="1"/>
  <c r="P290" i="2"/>
  <c r="W290" i="2" s="1"/>
  <c r="Q290" i="2"/>
  <c r="X290" i="2" s="1"/>
  <c r="T290" i="2"/>
  <c r="AA290" i="2" s="1"/>
  <c r="O290" i="2"/>
  <c r="V290" i="2" s="1"/>
  <c r="S290" i="2"/>
  <c r="Z290" i="2" s="1"/>
  <c r="AE290" i="2" l="1"/>
  <c r="F290" i="2" s="1"/>
  <c r="K291" i="2" s="1"/>
  <c r="AC290" i="2"/>
  <c r="E290" i="2" s="1"/>
  <c r="I291" i="2" l="1"/>
  <c r="L291" i="2"/>
  <c r="J291" i="2"/>
  <c r="H291" i="2"/>
  <c r="R291" i="2" l="1"/>
  <c r="Y291" i="2" s="1"/>
  <c r="S291" i="2"/>
  <c r="Z291" i="2" s="1"/>
  <c r="T291" i="2"/>
  <c r="AA291" i="2" s="1"/>
  <c r="O291" i="2"/>
  <c r="V291" i="2" s="1"/>
  <c r="Q291" i="2"/>
  <c r="X291" i="2" s="1"/>
  <c r="P291" i="2"/>
  <c r="W291" i="2" s="1"/>
  <c r="AC291" i="2" l="1"/>
  <c r="E291" i="2" s="1"/>
  <c r="AE291" i="2"/>
  <c r="F291" i="2" s="1"/>
  <c r="K292" i="2" s="1"/>
  <c r="I292" i="2" l="1"/>
  <c r="L292" i="2"/>
  <c r="J292" i="2"/>
  <c r="H292" i="2"/>
  <c r="P292" i="2" l="1"/>
  <c r="W292" i="2" s="1"/>
  <c r="T292" i="2"/>
  <c r="AA292" i="2" s="1"/>
  <c r="O292" i="2"/>
  <c r="V292" i="2" s="1"/>
  <c r="Q292" i="2"/>
  <c r="X292" i="2" s="1"/>
  <c r="S292" i="2"/>
  <c r="Z292" i="2" s="1"/>
  <c r="R292" i="2"/>
  <c r="Y292" i="2" s="1"/>
  <c r="AC292" i="2" l="1"/>
  <c r="E292" i="2" s="1"/>
  <c r="AE292" i="2"/>
  <c r="F292" i="2" s="1"/>
  <c r="K293" i="2" s="1"/>
  <c r="L293" i="2" l="1"/>
  <c r="I293" i="2"/>
  <c r="J293" i="2"/>
  <c r="H293" i="2"/>
  <c r="T293" i="2" l="1"/>
  <c r="AA293" i="2" s="1"/>
  <c r="O293" i="2"/>
  <c r="V293" i="2" s="1"/>
  <c r="Q293" i="2"/>
  <c r="X293" i="2" s="1"/>
  <c r="P293" i="2"/>
  <c r="W293" i="2" s="1"/>
  <c r="S293" i="2"/>
  <c r="Z293" i="2" s="1"/>
  <c r="R293" i="2"/>
  <c r="Y293" i="2" s="1"/>
  <c r="AE293" i="2" l="1"/>
  <c r="F293" i="2" s="1"/>
  <c r="K294" i="2" s="1"/>
  <c r="AC293" i="2"/>
  <c r="E293" i="2" s="1"/>
  <c r="L294" i="2" l="1"/>
  <c r="H294" i="2"/>
  <c r="I294" i="2"/>
  <c r="J294" i="2"/>
  <c r="R294" i="2" l="1"/>
  <c r="Y294" i="2" s="1"/>
  <c r="T294" i="2"/>
  <c r="AA294" i="2" s="1"/>
  <c r="O294" i="2"/>
  <c r="V294" i="2" s="1"/>
  <c r="Q294" i="2"/>
  <c r="X294" i="2" s="1"/>
  <c r="P294" i="2"/>
  <c r="W294" i="2" s="1"/>
  <c r="S294" i="2"/>
  <c r="Z294" i="2" s="1"/>
  <c r="AE294" i="2" l="1"/>
  <c r="F294" i="2" s="1"/>
  <c r="K295" i="2" s="1"/>
  <c r="AC294" i="2"/>
  <c r="E294" i="2" s="1"/>
  <c r="L295" i="2" l="1"/>
  <c r="H295" i="2"/>
  <c r="J295" i="2"/>
  <c r="I295" i="2"/>
  <c r="R295" i="2" l="1"/>
  <c r="Y295" i="2" s="1"/>
  <c r="Q295" i="2"/>
  <c r="X295" i="2" s="1"/>
  <c r="P295" i="2"/>
  <c r="W295" i="2" s="1"/>
  <c r="O295" i="2"/>
  <c r="V295" i="2" s="1"/>
  <c r="T295" i="2"/>
  <c r="AA295" i="2" s="1"/>
  <c r="S295" i="2"/>
  <c r="Z295" i="2" s="1"/>
  <c r="AC295" i="2" l="1"/>
  <c r="E295" i="2" s="1"/>
  <c r="AE295" i="2"/>
  <c r="F295" i="2" s="1"/>
  <c r="K296" i="2" s="1"/>
  <c r="J296" i="2" l="1"/>
  <c r="L296" i="2"/>
  <c r="I296" i="2"/>
  <c r="H296" i="2"/>
  <c r="O296" i="2" l="1"/>
  <c r="V296" i="2" s="1"/>
  <c r="T296" i="2"/>
  <c r="AA296" i="2" s="1"/>
  <c r="S296" i="2"/>
  <c r="Z296" i="2" s="1"/>
  <c r="P296" i="2"/>
  <c r="W296" i="2" s="1"/>
  <c r="Q296" i="2"/>
  <c r="X296" i="2" s="1"/>
  <c r="R296" i="2"/>
  <c r="Y296" i="2" s="1"/>
  <c r="AE296" i="2" l="1"/>
  <c r="F296" i="2" s="1"/>
  <c r="K297" i="2" s="1"/>
  <c r="AC296" i="2"/>
  <c r="E296" i="2" s="1"/>
  <c r="J297" i="2" l="1"/>
  <c r="I297" i="2"/>
  <c r="L297" i="2"/>
  <c r="H297" i="2"/>
  <c r="R297" i="2" l="1"/>
  <c r="Y297" i="2" s="1"/>
  <c r="P297" i="2"/>
  <c r="W297" i="2" s="1"/>
  <c r="T297" i="2"/>
  <c r="AA297" i="2" s="1"/>
  <c r="O297" i="2"/>
  <c r="V297" i="2" s="1"/>
  <c r="S297" i="2"/>
  <c r="Z297" i="2" s="1"/>
  <c r="Q297" i="2"/>
  <c r="X297" i="2" s="1"/>
  <c r="AC297" i="2" l="1"/>
  <c r="E297" i="2" s="1"/>
  <c r="AE297" i="2"/>
  <c r="F297" i="2" s="1"/>
  <c r="K298" i="2" s="1"/>
  <c r="J298" i="2" l="1"/>
  <c r="I298" i="2"/>
  <c r="H298" i="2"/>
  <c r="L298" i="2"/>
  <c r="S298" i="2" l="1"/>
  <c r="Z298" i="2" s="1"/>
  <c r="Q298" i="2"/>
  <c r="X298" i="2" s="1"/>
  <c r="T298" i="2"/>
  <c r="AA298" i="2" s="1"/>
  <c r="O298" i="2"/>
  <c r="V298" i="2" s="1"/>
  <c r="P298" i="2"/>
  <c r="W298" i="2" s="1"/>
  <c r="R298" i="2"/>
  <c r="Y298" i="2" s="1"/>
  <c r="AE298" i="2" l="1"/>
  <c r="F298" i="2" s="1"/>
  <c r="K299" i="2" s="1"/>
  <c r="AC298" i="2"/>
  <c r="E298" i="2" s="1"/>
  <c r="I299" i="2" l="1"/>
  <c r="H299" i="2"/>
  <c r="L299" i="2"/>
  <c r="J299" i="2"/>
  <c r="O299" i="2" l="1"/>
  <c r="V299" i="2" s="1"/>
  <c r="T299" i="2"/>
  <c r="AA299" i="2" s="1"/>
  <c r="R299" i="2"/>
  <c r="Y299" i="2" s="1"/>
  <c r="Q299" i="2"/>
  <c r="X299" i="2" s="1"/>
  <c r="S299" i="2"/>
  <c r="Z299" i="2" s="1"/>
  <c r="P299" i="2"/>
  <c r="W299" i="2" s="1"/>
  <c r="AC299" i="2" l="1"/>
  <c r="E299" i="2" s="1"/>
  <c r="AE299" i="2"/>
  <c r="F299" i="2" s="1"/>
  <c r="K300" i="2" s="1"/>
  <c r="I300" i="2" l="1"/>
  <c r="J300" i="2"/>
  <c r="L300" i="2"/>
  <c r="H300" i="2"/>
  <c r="S300" i="2" l="1"/>
  <c r="Z300" i="2" s="1"/>
  <c r="T300" i="2"/>
  <c r="AA300" i="2" s="1"/>
  <c r="O300" i="2"/>
  <c r="V300" i="2" s="1"/>
  <c r="Q300" i="2"/>
  <c r="X300" i="2" s="1"/>
  <c r="P300" i="2"/>
  <c r="W300" i="2" s="1"/>
  <c r="R300" i="2"/>
  <c r="Y300" i="2" s="1"/>
  <c r="AC300" i="2" l="1"/>
  <c r="E300" i="2" s="1"/>
  <c r="AE300" i="2"/>
  <c r="F300" i="2" s="1"/>
  <c r="K301" i="2" s="1"/>
  <c r="I301" i="2" l="1"/>
  <c r="L301" i="2"/>
  <c r="H301" i="2"/>
  <c r="J301" i="2"/>
  <c r="Q301" i="2" l="1"/>
  <c r="X301" i="2" s="1"/>
  <c r="P301" i="2"/>
  <c r="W301" i="2" s="1"/>
  <c r="O301" i="2"/>
  <c r="V301" i="2" s="1"/>
  <c r="T301" i="2"/>
  <c r="AA301" i="2" s="1"/>
  <c r="S301" i="2"/>
  <c r="Z301" i="2" s="1"/>
  <c r="R301" i="2"/>
  <c r="Y301" i="2" s="1"/>
  <c r="AE301" i="2" l="1"/>
  <c r="F301" i="2" s="1"/>
  <c r="K302" i="2" s="1"/>
  <c r="AC301" i="2"/>
  <c r="E301" i="2" s="1"/>
  <c r="L302" i="2" l="1"/>
  <c r="H302" i="2"/>
  <c r="J302" i="2"/>
  <c r="I302" i="2"/>
  <c r="R302" i="2" l="1"/>
  <c r="Y302" i="2" s="1"/>
  <c r="T302" i="2"/>
  <c r="AA302" i="2" s="1"/>
  <c r="O302" i="2"/>
  <c r="V302" i="2" s="1"/>
  <c r="P302" i="2"/>
  <c r="W302" i="2" s="1"/>
  <c r="Q302" i="2"/>
  <c r="X302" i="2" s="1"/>
  <c r="S302" i="2"/>
  <c r="Z302" i="2" s="1"/>
  <c r="AE302" i="2" l="1"/>
  <c r="F302" i="2" s="1"/>
  <c r="K303" i="2" s="1"/>
  <c r="AC302" i="2"/>
  <c r="E302" i="2" s="1"/>
  <c r="L303" i="2" l="1"/>
  <c r="H303" i="2"/>
  <c r="I303" i="2"/>
  <c r="J303" i="2"/>
  <c r="R303" i="2" l="1"/>
  <c r="Y303" i="2" s="1"/>
  <c r="T303" i="2"/>
  <c r="AA303" i="2" s="1"/>
  <c r="O303" i="2"/>
  <c r="V303" i="2" s="1"/>
  <c r="Q303" i="2"/>
  <c r="X303" i="2" s="1"/>
  <c r="P303" i="2"/>
  <c r="W303" i="2" s="1"/>
  <c r="S303" i="2"/>
  <c r="Z303" i="2" s="1"/>
  <c r="AC303" i="2" l="1"/>
  <c r="E303" i="2" s="1"/>
  <c r="AE303" i="2"/>
  <c r="F303" i="2" s="1"/>
  <c r="K304" i="2" s="1"/>
  <c r="L304" i="2" l="1"/>
  <c r="H304" i="2"/>
  <c r="I304" i="2"/>
  <c r="J304" i="2"/>
  <c r="T304" i="2" l="1"/>
  <c r="AA304" i="2" s="1"/>
  <c r="O304" i="2"/>
  <c r="V304" i="2" s="1"/>
  <c r="Q304" i="2"/>
  <c r="X304" i="2" s="1"/>
  <c r="P304" i="2"/>
  <c r="W304" i="2" s="1"/>
  <c r="S304" i="2"/>
  <c r="Z304" i="2" s="1"/>
  <c r="R304" i="2"/>
  <c r="Y304" i="2" s="1"/>
  <c r="AE304" i="2" l="1"/>
  <c r="F304" i="2" s="1"/>
  <c r="K305" i="2" s="1"/>
  <c r="AC304" i="2"/>
  <c r="E304" i="2" s="1"/>
  <c r="L305" i="2" l="1"/>
  <c r="H305" i="2"/>
  <c r="J305" i="2"/>
  <c r="I305" i="2"/>
  <c r="R305" i="2" l="1"/>
  <c r="Y305" i="2" s="1"/>
  <c r="Q305" i="2"/>
  <c r="X305" i="2" s="1"/>
  <c r="P305" i="2"/>
  <c r="W305" i="2" s="1"/>
  <c r="O305" i="2"/>
  <c r="V305" i="2" s="1"/>
  <c r="T305" i="2"/>
  <c r="AA305" i="2" s="1"/>
  <c r="S305" i="2"/>
  <c r="Z305" i="2" s="1"/>
  <c r="AE305" i="2" l="1"/>
  <c r="F305" i="2" s="1"/>
  <c r="K306" i="2" s="1"/>
  <c r="AC305" i="2"/>
  <c r="E305" i="2" s="1"/>
  <c r="L306" i="2" l="1"/>
  <c r="H306" i="2"/>
  <c r="J306" i="2"/>
  <c r="I306" i="2"/>
  <c r="R306" i="2" l="1"/>
  <c r="Y306" i="2" s="1"/>
  <c r="O306" i="2"/>
  <c r="V306" i="2" s="1"/>
  <c r="T306" i="2"/>
  <c r="AA306" i="2" s="1"/>
  <c r="P306" i="2"/>
  <c r="W306" i="2" s="1"/>
  <c r="Q306" i="2"/>
  <c r="X306" i="2" s="1"/>
  <c r="S306" i="2"/>
  <c r="Z306" i="2" s="1"/>
  <c r="AE306" i="2" l="1"/>
  <c r="F306" i="2" s="1"/>
  <c r="K307" i="2" s="1"/>
  <c r="AC306" i="2"/>
  <c r="E306" i="2" s="1"/>
  <c r="H307" i="2" l="1"/>
  <c r="I307" i="2"/>
  <c r="J307" i="2"/>
  <c r="L307" i="2"/>
  <c r="R307" i="2" l="1"/>
  <c r="Y307" i="2" s="1"/>
  <c r="Q307" i="2"/>
  <c r="X307" i="2" s="1"/>
  <c r="S307" i="2"/>
  <c r="Z307" i="2" s="1"/>
  <c r="P307" i="2"/>
  <c r="W307" i="2" s="1"/>
  <c r="O307" i="2"/>
  <c r="V307" i="2" s="1"/>
  <c r="T307" i="2"/>
  <c r="AA307" i="2" s="1"/>
  <c r="AC307" i="2" l="1"/>
  <c r="E307" i="2" s="1"/>
  <c r="AE307" i="2"/>
  <c r="F307" i="2" s="1"/>
  <c r="K308" i="2" s="1"/>
  <c r="H308" i="2" l="1"/>
  <c r="J308" i="2"/>
  <c r="L308" i="2"/>
  <c r="I308" i="2"/>
  <c r="R308" i="2" l="1"/>
  <c r="Y308" i="2" s="1"/>
  <c r="P308" i="2"/>
  <c r="W308" i="2" s="1"/>
  <c r="S308" i="2"/>
  <c r="Z308" i="2" s="1"/>
  <c r="Q308" i="2"/>
  <c r="X308" i="2" s="1"/>
  <c r="O308" i="2"/>
  <c r="V308" i="2" s="1"/>
  <c r="T308" i="2"/>
  <c r="AA308" i="2" s="1"/>
  <c r="AC308" i="2" l="1"/>
  <c r="E308" i="2" s="1"/>
  <c r="AE308" i="2"/>
  <c r="F308" i="2" s="1"/>
  <c r="K309" i="2" s="1"/>
  <c r="H309" i="2" l="1"/>
  <c r="J309" i="2"/>
  <c r="I309" i="2"/>
  <c r="L309" i="2"/>
  <c r="R309" i="2" l="1"/>
  <c r="Y309" i="2" s="1"/>
  <c r="S309" i="2"/>
  <c r="Z309" i="2" s="1"/>
  <c r="P309" i="2"/>
  <c r="W309" i="2" s="1"/>
  <c r="Q309" i="2"/>
  <c r="X309" i="2" s="1"/>
  <c r="T309" i="2"/>
  <c r="AA309" i="2" s="1"/>
  <c r="O309" i="2"/>
  <c r="V309" i="2" s="1"/>
  <c r="AE309" i="2" l="1"/>
  <c r="F309" i="2" s="1"/>
  <c r="K310" i="2" s="1"/>
  <c r="AC309" i="2"/>
  <c r="E309" i="2" s="1"/>
  <c r="H310" i="2" l="1"/>
  <c r="I310" i="2"/>
  <c r="J310" i="2"/>
  <c r="L310" i="2"/>
  <c r="R310" i="2" l="1"/>
  <c r="Y310" i="2" s="1"/>
  <c r="P310" i="2"/>
  <c r="W310" i="2" s="1"/>
  <c r="S310" i="2"/>
  <c r="Z310" i="2" s="1"/>
  <c r="Q310" i="2"/>
  <c r="X310" i="2" s="1"/>
  <c r="T310" i="2"/>
  <c r="AA310" i="2" s="1"/>
  <c r="O310" i="2"/>
  <c r="V310" i="2" s="1"/>
  <c r="AC310" i="2" l="1"/>
  <c r="E310" i="2" s="1"/>
  <c r="AE310" i="2"/>
  <c r="F310" i="2" s="1"/>
  <c r="K311" i="2" s="1"/>
  <c r="H311" i="2" l="1"/>
  <c r="I311" i="2"/>
  <c r="L311" i="2"/>
  <c r="J311" i="2"/>
  <c r="S311" i="2" l="1"/>
  <c r="Z311" i="2" s="1"/>
  <c r="Q311" i="2"/>
  <c r="X311" i="2" s="1"/>
  <c r="P311" i="2"/>
  <c r="W311" i="2" s="1"/>
  <c r="T311" i="2"/>
  <c r="AA311" i="2" s="1"/>
  <c r="O311" i="2"/>
  <c r="V311" i="2" s="1"/>
  <c r="R311" i="2"/>
  <c r="Y311" i="2" s="1"/>
  <c r="AE311" i="2" l="1"/>
  <c r="F311" i="2" s="1"/>
  <c r="K312" i="2" s="1"/>
  <c r="AC311" i="2"/>
  <c r="E311" i="2" s="1"/>
  <c r="H312" i="2" l="1"/>
  <c r="L312" i="2"/>
  <c r="J312" i="2"/>
  <c r="I312" i="2"/>
  <c r="R312" i="2" l="1"/>
  <c r="Y312" i="2" s="1"/>
  <c r="P312" i="2"/>
  <c r="W312" i="2" s="1"/>
  <c r="Q312" i="2"/>
  <c r="X312" i="2" s="1"/>
  <c r="S312" i="2"/>
  <c r="Z312" i="2" s="1"/>
  <c r="T312" i="2"/>
  <c r="AA312" i="2" s="1"/>
  <c r="O312" i="2"/>
  <c r="V312" i="2" s="1"/>
  <c r="AE312" i="2" l="1"/>
  <c r="F312" i="2" s="1"/>
  <c r="K313" i="2" s="1"/>
  <c r="AC312" i="2"/>
  <c r="E312" i="2" s="1"/>
  <c r="I313" i="2" l="1"/>
  <c r="H313" i="2"/>
  <c r="J313" i="2"/>
  <c r="L313" i="2"/>
  <c r="R313" i="2" l="1"/>
  <c r="Y313" i="2" s="1"/>
  <c r="Q313" i="2"/>
  <c r="X313" i="2" s="1"/>
  <c r="S313" i="2"/>
  <c r="Z313" i="2" s="1"/>
  <c r="O313" i="2"/>
  <c r="V313" i="2" s="1"/>
  <c r="T313" i="2"/>
  <c r="AA313" i="2" s="1"/>
  <c r="P313" i="2"/>
  <c r="W313" i="2" s="1"/>
  <c r="AE313" i="2" l="1"/>
  <c r="F313" i="2" s="1"/>
  <c r="K314" i="2" s="1"/>
  <c r="AC313" i="2"/>
  <c r="E313" i="2" s="1"/>
  <c r="H314" i="2" l="1"/>
  <c r="I314" i="2"/>
  <c r="J314" i="2"/>
  <c r="L314" i="2"/>
  <c r="R314" i="2" l="1"/>
  <c r="Y314" i="2" s="1"/>
  <c r="Q314" i="2"/>
  <c r="X314" i="2" s="1"/>
  <c r="S314" i="2"/>
  <c r="Z314" i="2" s="1"/>
  <c r="P314" i="2"/>
  <c r="W314" i="2" s="1"/>
  <c r="T314" i="2"/>
  <c r="AA314" i="2" s="1"/>
  <c r="O314" i="2"/>
  <c r="V314" i="2" s="1"/>
  <c r="AE314" i="2" l="1"/>
  <c r="F314" i="2" s="1"/>
  <c r="K315" i="2" s="1"/>
  <c r="AC314" i="2"/>
  <c r="E314" i="2" s="1"/>
  <c r="J315" i="2" l="1"/>
  <c r="I315" i="2"/>
  <c r="L315" i="2"/>
  <c r="H315" i="2"/>
  <c r="T315" i="2" l="1"/>
  <c r="AA315" i="2" s="1"/>
  <c r="O315" i="2"/>
  <c r="V315" i="2" s="1"/>
  <c r="D8" i="2"/>
  <c r="H6" i="1" s="1"/>
  <c r="H5" i="1" s="1"/>
  <c r="R315" i="2"/>
  <c r="Y315" i="2" s="1"/>
  <c r="S315" i="2"/>
  <c r="Z315" i="2" s="1"/>
  <c r="P315" i="2"/>
  <c r="W315" i="2" s="1"/>
  <c r="E8" i="2"/>
  <c r="I6" i="1" s="1"/>
  <c r="I5" i="1" s="1"/>
  <c r="Q315" i="2"/>
  <c r="X315" i="2" s="1"/>
  <c r="AC315" i="2" l="1"/>
  <c r="E315" i="2" s="1"/>
  <c r="AE315" i="2"/>
  <c r="F315" i="2" s="1"/>
  <c r="AO22" i="1"/>
  <c r="AO24" i="1" s="1"/>
  <c r="AO26" i="1" s="1"/>
  <c r="AO28" i="1" s="1"/>
  <c r="AO30" i="1" l="1"/>
  <c r="AO27" i="1"/>
  <c r="W8" i="4" l="1"/>
  <c r="X8" i="4" s="1"/>
  <c r="X36" i="4" s="1"/>
  <c r="AA6" i="4" s="1"/>
  <c r="AA16" i="4" s="1"/>
  <c r="AA20" i="4" s="1"/>
  <c r="AA21" i="4" s="1"/>
  <c r="AA23" i="4" s="1"/>
  <c r="AI14" i="4" s="1"/>
  <c r="AH9" i="4"/>
  <c r="AI9" i="4" s="1"/>
  <c r="AC15" i="1"/>
  <c r="AO31" i="1"/>
  <c r="AL9" i="4" l="1"/>
  <c r="AP9" i="4" s="1"/>
  <c r="AQ9" i="4" s="1"/>
  <c r="AQ10" i="4" s="1"/>
  <c r="AI18" i="4"/>
  <c r="AI19" i="4"/>
  <c r="AI20" i="4"/>
  <c r="AC42" i="1"/>
  <c r="AC38" i="1"/>
  <c r="AC44" i="1"/>
  <c r="AC39" i="1"/>
  <c r="AC43" i="1"/>
  <c r="AC47" i="1"/>
  <c r="AC35" i="1"/>
  <c r="AC37" i="1"/>
  <c r="AC45" i="1"/>
  <c r="AC36" i="1"/>
  <c r="AC52" i="1"/>
  <c r="AC34" i="1"/>
  <c r="AC71" i="1"/>
  <c r="AC46" i="1"/>
  <c r="AI21" i="4" l="1"/>
  <c r="AI22" i="4" s="1"/>
  <c r="AM16" i="4" s="1"/>
  <c r="AP16" i="4" s="1"/>
  <c r="AC77" i="1"/>
  <c r="AC78" i="1"/>
  <c r="AC55" i="1"/>
  <c r="AC57" i="1" s="1"/>
  <c r="AC60" i="1" s="1"/>
  <c r="AC40" i="1"/>
  <c r="AC48" i="1"/>
  <c r="AM22" i="4" l="1"/>
  <c r="AP22" i="4" s="1"/>
  <c r="AM18" i="4"/>
  <c r="AP18" i="4" s="1"/>
  <c r="AM14" i="4"/>
  <c r="AP14" i="4" s="1"/>
  <c r="AM21" i="4"/>
  <c r="AP21" i="4" s="1"/>
  <c r="AM41" i="4"/>
  <c r="AP41" i="4" s="1"/>
  <c r="AM50" i="4"/>
  <c r="AP50" i="4" s="1"/>
  <c r="AM24" i="4"/>
  <c r="AP24" i="4" s="1"/>
  <c r="AM44" i="4"/>
  <c r="AP44" i="4" s="1"/>
  <c r="AM40" i="4"/>
  <c r="AP40" i="4" s="1"/>
  <c r="AM37" i="4"/>
  <c r="AP37" i="4" s="1"/>
  <c r="AM15" i="4"/>
  <c r="AP15" i="4" s="1"/>
  <c r="AM46" i="4"/>
  <c r="AP46" i="4" s="1"/>
  <c r="AM31" i="4"/>
  <c r="AP31" i="4" s="1"/>
  <c r="AM11" i="4"/>
  <c r="AP11" i="4" s="1"/>
  <c r="AQ11" i="4" s="1"/>
  <c r="AM20" i="4"/>
  <c r="AP20" i="4" s="1"/>
  <c r="AM25" i="4"/>
  <c r="AP25" i="4" s="1"/>
  <c r="AM33" i="4"/>
  <c r="AP33" i="4" s="1"/>
  <c r="AM51" i="4"/>
  <c r="AP51" i="4" s="1"/>
  <c r="AM38" i="4"/>
  <c r="AP38" i="4" s="1"/>
  <c r="AM13" i="4"/>
  <c r="AP13" i="4" s="1"/>
  <c r="AM29" i="4"/>
  <c r="AP29" i="4" s="1"/>
  <c r="AM42" i="4"/>
  <c r="AP42" i="4" s="1"/>
  <c r="AM19" i="4"/>
  <c r="AP19" i="4" s="1"/>
  <c r="AM39" i="4"/>
  <c r="AP39" i="4" s="1"/>
  <c r="AM27" i="4"/>
  <c r="AP27" i="4" s="1"/>
  <c r="AM48" i="4"/>
  <c r="AP48" i="4" s="1"/>
  <c r="AM43" i="4"/>
  <c r="AP43" i="4" s="1"/>
  <c r="AM45" i="4"/>
  <c r="AP45" i="4" s="1"/>
  <c r="AM34" i="4"/>
  <c r="AP34" i="4" s="1"/>
  <c r="AM26" i="4"/>
  <c r="AP26" i="4" s="1"/>
  <c r="AM47" i="4"/>
  <c r="AP47" i="4" s="1"/>
  <c r="AM32" i="4"/>
  <c r="AP32" i="4" s="1"/>
  <c r="AM49" i="4"/>
  <c r="AP49" i="4" s="1"/>
  <c r="AM36" i="4"/>
  <c r="AP36" i="4" s="1"/>
  <c r="AM17" i="4"/>
  <c r="AP17" i="4" s="1"/>
  <c r="AM23" i="4"/>
  <c r="AP23" i="4" s="1"/>
  <c r="AM35" i="4"/>
  <c r="AP35" i="4" s="1"/>
  <c r="AM30" i="4"/>
  <c r="AP30" i="4" s="1"/>
  <c r="AM28" i="4"/>
  <c r="AP28" i="4" s="1"/>
  <c r="AM12" i="4"/>
  <c r="AP12" i="4" s="1"/>
  <c r="AC50" i="1"/>
  <c r="M13" i="1" s="1"/>
  <c r="AC83" i="1"/>
  <c r="AQ12" i="4" l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AQ24" i="4" s="1"/>
  <c r="AQ25" i="4" s="1"/>
  <c r="AQ26" i="4" s="1"/>
  <c r="AQ27" i="4" s="1"/>
  <c r="AQ28" i="4" s="1"/>
  <c r="AQ29" i="4" s="1"/>
  <c r="AQ30" i="4" s="1"/>
  <c r="AQ31" i="4" s="1"/>
  <c r="AQ32" i="4" s="1"/>
  <c r="T63" i="4" l="1"/>
  <c r="AT6" i="4"/>
  <c r="AQ33" i="4"/>
  <c r="AQ34" i="4" s="1"/>
  <c r="AQ35" i="4" s="1"/>
  <c r="AQ36" i="4" s="1"/>
  <c r="AQ37" i="4" s="1"/>
  <c r="AQ38" i="4" s="1"/>
  <c r="AQ39" i="4" s="1"/>
  <c r="AQ40" i="4" s="1"/>
  <c r="AQ41" i="4" s="1"/>
  <c r="AQ42" i="4" s="1"/>
  <c r="AQ43" i="4" s="1"/>
  <c r="AQ44" i="4" l="1"/>
  <c r="AQ45" i="4" s="1"/>
  <c r="AQ46" i="4" s="1"/>
  <c r="AQ47" i="4" s="1"/>
  <c r="AQ48" i="4" s="1"/>
  <c r="AQ49" i="4" s="1"/>
  <c r="AQ50" i="4" s="1"/>
  <c r="AQ51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Y12" authorId="0" shapeId="0" xr:uid="{B066123C-3BB4-5040-91E8-E39012B432BF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yw,s10</t>
        </r>
      </text>
    </comment>
    <comment ref="Y13" authorId="0" shapeId="0" xr:uid="{8DEF8BC1-22FA-8E4F-90B9-D662E138F38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ym,s10</t>
        </r>
      </text>
    </comment>
  </commentList>
</comments>
</file>

<file path=xl/sharedStrings.xml><?xml version="1.0" encoding="utf-8"?>
<sst xmlns="http://schemas.openxmlformats.org/spreadsheetml/2006/main" count="898" uniqueCount="537">
  <si>
    <t>CO2</t>
  </si>
  <si>
    <t>H2</t>
  </si>
  <si>
    <t>CH3OH</t>
  </si>
  <si>
    <t>CO</t>
  </si>
  <si>
    <t>H2O</t>
  </si>
  <si>
    <t>N2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</si>
  <si>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</si>
  <si>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</si>
  <si>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</si>
  <si>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</si>
  <si>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</si>
  <si>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</si>
  <si>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</si>
  <si>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</si>
  <si>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</si>
  <si>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</si>
  <si>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</si>
  <si>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</si>
  <si>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Vapour molar flows, mol/s</t>
  </si>
  <si>
    <t>liquid molar flows, mol/s</t>
  </si>
  <si>
    <t>f_sp=</t>
  </si>
  <si>
    <t>s_m=</t>
  </si>
  <si>
    <t>ext_1=</t>
  </si>
  <si>
    <t>mol/s</t>
  </si>
  <si>
    <t>ext_2=</t>
  </si>
  <si>
    <t>f_pu=</t>
  </si>
  <si>
    <t>Temperature</t>
  </si>
  <si>
    <t>Pressure</t>
  </si>
  <si>
    <t>f_rS=</t>
  </si>
  <si>
    <t>f_rH=</t>
  </si>
  <si>
    <t>MW, g/mol</t>
  </si>
  <si>
    <t>H2CR</t>
  </si>
  <si>
    <t>prelinimary economic/kgCO2</t>
  </si>
  <si>
    <t>zCO2</t>
  </si>
  <si>
    <t>Aeq_1</t>
  </si>
  <si>
    <t>Beq_1</t>
  </si>
  <si>
    <t>Aeq2_2</t>
  </si>
  <si>
    <t>Beq_2</t>
  </si>
  <si>
    <t>a1</t>
  </si>
  <si>
    <t>b1</t>
  </si>
  <si>
    <t>a2</t>
  </si>
  <si>
    <t>b2</t>
  </si>
  <si>
    <t>a3</t>
  </si>
  <si>
    <t>b3</t>
  </si>
  <si>
    <t>a4</t>
  </si>
  <si>
    <t>b4</t>
  </si>
  <si>
    <t>a5</t>
  </si>
  <si>
    <t>b5</t>
  </si>
  <si>
    <t>k5=</t>
  </si>
  <si>
    <t>k1=</t>
  </si>
  <si>
    <t>k2=</t>
  </si>
  <si>
    <t>k3=</t>
  </si>
  <si>
    <t>k4=</t>
  </si>
  <si>
    <t>P in bars</t>
  </si>
  <si>
    <t>T in K for the equations</t>
  </si>
  <si>
    <t>j/mol</t>
  </si>
  <si>
    <t>m cat</t>
  </si>
  <si>
    <t>conv.%</t>
  </si>
  <si>
    <t>sel.%</t>
  </si>
  <si>
    <t>Reactor T,C</t>
  </si>
  <si>
    <t>Reactor P, bar</t>
  </si>
  <si>
    <t>keq1=</t>
  </si>
  <si>
    <t>Keq2=</t>
  </si>
  <si>
    <t>r1=k1*pCO2*pH*(1-(1/keq1)*(pW*pM/(pH^3*pCO2)))/(1+k2*pW/pH+k3*pH^0.5+k4*pW)^3</t>
  </si>
  <si>
    <t>r2= k5*pCO2*(1-Keq2*pW*pCO/(PCO2*pH))/(1+k2*pW/pH+k3*pH^0.5+k4*pW)</t>
  </si>
  <si>
    <t>dmcat_f=</t>
  </si>
  <si>
    <t>mol flows, mol/s</t>
  </si>
  <si>
    <t>Molar fractions</t>
  </si>
  <si>
    <t>Partial pressures, bar</t>
  </si>
  <si>
    <t>mol/s-kgcat</t>
  </si>
  <si>
    <t>react. Sec.</t>
  </si>
  <si>
    <t>dmcat, kg</t>
  </si>
  <si>
    <t>mcat, kg</t>
  </si>
  <si>
    <t>deltax1</t>
  </si>
  <si>
    <t>delta x2</t>
  </si>
  <si>
    <t>r1 =d_x1/dmcat</t>
  </si>
  <si>
    <t>r2 =d_x2/dmcat</t>
  </si>
  <si>
    <t xml:space="preserve">Set of equations from: https://doi.org/10.1016/j.jclepro.2013.06.008 </t>
  </si>
  <si>
    <t>total</t>
  </si>
  <si>
    <t>xmtop(xm_s8)</t>
  </si>
  <si>
    <t>xmbottom(xm_s9)</t>
  </si>
  <si>
    <t>Vapour molar enthalpies. kJ/mol</t>
  </si>
  <si>
    <t>Liquid molar enthalpies kJ/mol</t>
  </si>
  <si>
    <t>hf, kJ/mol</t>
  </si>
  <si>
    <t>Cp [a] J/mol-K^3</t>
  </si>
  <si>
    <t>Cp [b] J/mol-K^2</t>
  </si>
  <si>
    <t>Cp [c] J/mol-K</t>
  </si>
  <si>
    <t>A_Ant</t>
  </si>
  <si>
    <t>B_Ant</t>
  </si>
  <si>
    <t>C_Ant</t>
  </si>
  <si>
    <t>xm,7=</t>
  </si>
  <si>
    <t>Tcond</t>
  </si>
  <si>
    <t>DeltaPmem,bar</t>
  </si>
  <si>
    <t>T,dis,Cond</t>
  </si>
  <si>
    <t>H, kW</t>
  </si>
  <si>
    <t>Htotal L+V kW</t>
  </si>
  <si>
    <t>Total stream enthalpy flow, kW</t>
  </si>
  <si>
    <t>Reactor Energy Balance - neglects changes in kinetic and potential energy</t>
  </si>
  <si>
    <t>Qreactor=</t>
  </si>
  <si>
    <t>kW</t>
  </si>
  <si>
    <t>exothermic reaction (cool it down)</t>
  </si>
  <si>
    <t>CO2 processed</t>
  </si>
  <si>
    <t>ton/day</t>
  </si>
  <si>
    <t>Species</t>
  </si>
  <si>
    <t>As close to 0 as possible</t>
  </si>
  <si>
    <t>gas</t>
  </si>
  <si>
    <t>liquid</t>
  </si>
  <si>
    <t>Volumetric Flow rate Calcs (m^3/s)</t>
  </si>
  <si>
    <t>Initially recommended pipe diameter, Inches</t>
  </si>
  <si>
    <t>estimated thickness (inches)</t>
  </si>
  <si>
    <t>t_e</t>
  </si>
  <si>
    <t>S =</t>
  </si>
  <si>
    <t>E =</t>
  </si>
  <si>
    <t>Y =</t>
  </si>
  <si>
    <t xml:space="preserve">tol = </t>
  </si>
  <si>
    <t>NOM.</t>
  </si>
  <si>
    <t>O.D.</t>
  </si>
  <si>
    <t>40 STD</t>
  </si>
  <si>
    <t>XH</t>
  </si>
  <si>
    <t>XXH</t>
  </si>
  <si>
    <t>1/8˝</t>
  </si>
  <si>
    <t>1/4˝</t>
  </si>
  <si>
    <t>3/8˝</t>
  </si>
  <si>
    <t>1/2˝</t>
  </si>
  <si>
    <t>3/4˝</t>
  </si>
  <si>
    <t>1˝</t>
  </si>
  <si>
    <t>1-1/4˝</t>
  </si>
  <si>
    <t>1-1/2˝</t>
  </si>
  <si>
    <t>2˝</t>
  </si>
  <si>
    <t>2-1/2˝</t>
  </si>
  <si>
    <t>3˝</t>
  </si>
  <si>
    <t>3-1/2˝</t>
  </si>
  <si>
    <t>4˝</t>
  </si>
  <si>
    <t>4-1/2˝</t>
  </si>
  <si>
    <t>5˝</t>
  </si>
  <si>
    <t>6˝</t>
  </si>
  <si>
    <t>7˝</t>
  </si>
  <si>
    <t>8˝</t>
  </si>
  <si>
    <t>9˝</t>
  </si>
  <si>
    <t>10˝</t>
  </si>
  <si>
    <t>11˝</t>
  </si>
  <si>
    <t>12˝</t>
  </si>
  <si>
    <t>14˝</t>
  </si>
  <si>
    <t>16˝</t>
  </si>
  <si>
    <t>18˝</t>
  </si>
  <si>
    <t>20˝</t>
  </si>
  <si>
    <t>22˝</t>
  </si>
  <si>
    <t>24˝</t>
  </si>
  <si>
    <t xml:space="preserve">Pipe schedule table obtained from </t>
  </si>
  <si>
    <t>APP-chart-v7-web.pdf (amerpipe.com)</t>
  </si>
  <si>
    <t>t</t>
  </si>
  <si>
    <t>Actual outside diameter</t>
  </si>
  <si>
    <t>custom</t>
  </si>
  <si>
    <t>Dnom</t>
  </si>
  <si>
    <t>Schedule</t>
  </si>
  <si>
    <t>OD, inch</t>
  </si>
  <si>
    <t>thick, inch</t>
  </si>
  <si>
    <t>Thick, recalc</t>
  </si>
  <si>
    <t>delta thick</t>
  </si>
  <si>
    <t>For seamless pipes</t>
  </si>
  <si>
    <t>Control valve sizing</t>
  </si>
  <si>
    <t>DeltaP, bar</t>
  </si>
  <si>
    <t>q, std L/min</t>
  </si>
  <si>
    <t>Mwgas</t>
  </si>
  <si>
    <t>SG</t>
  </si>
  <si>
    <t>Cv</t>
  </si>
  <si>
    <t>Cv/D^2</t>
  </si>
  <si>
    <t>Pressure losses</t>
  </si>
  <si>
    <t>ID, m</t>
  </si>
  <si>
    <t>L, m</t>
  </si>
  <si>
    <t>V, m/s</t>
  </si>
  <si>
    <t>Density, kg/m^3</t>
  </si>
  <si>
    <t>Check Valves (#)</t>
  </si>
  <si>
    <t>Flowmeter disk (#)</t>
  </si>
  <si>
    <t>Elbows Flanged (#)</t>
  </si>
  <si>
    <t>Total Kl</t>
  </si>
  <si>
    <t>deltaP, bar</t>
  </si>
  <si>
    <t>S6a</t>
  </si>
  <si>
    <t>S6b</t>
  </si>
  <si>
    <t>S7a</t>
  </si>
  <si>
    <t>Mass cat</t>
  </si>
  <si>
    <t>kg</t>
  </si>
  <si>
    <t>Vreactor</t>
  </si>
  <si>
    <t>m^3</t>
  </si>
  <si>
    <t>kg/m^3</t>
  </si>
  <si>
    <t>𝞺mat</t>
  </si>
  <si>
    <t>𝞺bulk</t>
  </si>
  <si>
    <t>𝞮</t>
  </si>
  <si>
    <t>L/D</t>
  </si>
  <si>
    <t>m</t>
  </si>
  <si>
    <t>𝝻gas</t>
  </si>
  <si>
    <t>𝞺gas</t>
  </si>
  <si>
    <t>Dp</t>
  </si>
  <si>
    <t>L</t>
  </si>
  <si>
    <t>D</t>
  </si>
  <si>
    <t>DP</t>
  </si>
  <si>
    <t>vs</t>
  </si>
  <si>
    <t>Vflow</t>
  </si>
  <si>
    <t>Pa*s</t>
  </si>
  <si>
    <t>Pa</t>
  </si>
  <si>
    <t>m/s</t>
  </si>
  <si>
    <t>bar</t>
  </si>
  <si>
    <t>Dpreactor, bar</t>
  </si>
  <si>
    <t>S5a</t>
  </si>
  <si>
    <t>S13</t>
  </si>
  <si>
    <t>S12a</t>
  </si>
  <si>
    <t>S13a</t>
  </si>
  <si>
    <t>S4a</t>
  </si>
  <si>
    <t>S2a</t>
  </si>
  <si>
    <t>S1a</t>
  </si>
  <si>
    <t>Compressor sizing (H2 line)</t>
  </si>
  <si>
    <t>Tfeed</t>
  </si>
  <si>
    <t>Celsius</t>
  </si>
  <si>
    <t>Number of stages</t>
  </si>
  <si>
    <t>Pfeed to process</t>
  </si>
  <si>
    <t>Pfinal stage</t>
  </si>
  <si>
    <t>(P2/P1)stage</t>
  </si>
  <si>
    <t>s@T1</t>
  </si>
  <si>
    <t>s@T2</t>
  </si>
  <si>
    <t>cp</t>
  </si>
  <si>
    <t>J/mol-K</t>
  </si>
  <si>
    <t>gamma</t>
  </si>
  <si>
    <t>T2ideal</t>
  </si>
  <si>
    <t>molar flow</t>
  </si>
  <si>
    <t>Ideal work</t>
  </si>
  <si>
    <t>Real work</t>
  </si>
  <si>
    <t>Isentr eff</t>
  </si>
  <si>
    <t>Real Temperature</t>
  </si>
  <si>
    <t>Total work</t>
  </si>
  <si>
    <t>Drive effec</t>
  </si>
  <si>
    <t>Motorpower</t>
  </si>
  <si>
    <t>Cooling unit duty</t>
  </si>
  <si>
    <t>Compressor sising (CO2 line)</t>
  </si>
  <si>
    <t>Recycle Compressor</t>
  </si>
  <si>
    <t>Ejector Calc</t>
  </si>
  <si>
    <t>High P stream, s4a</t>
  </si>
  <si>
    <t>T</t>
  </si>
  <si>
    <t>P</t>
  </si>
  <si>
    <t>nflow</t>
  </si>
  <si>
    <t>Low P stream, S3</t>
  </si>
  <si>
    <t>Pf</t>
  </si>
  <si>
    <t>TfH</t>
  </si>
  <si>
    <t>TfL</t>
  </si>
  <si>
    <t>Total real work</t>
  </si>
  <si>
    <t>W</t>
  </si>
  <si>
    <t>Cold</t>
  </si>
  <si>
    <t>Tout, C</t>
  </si>
  <si>
    <t>Tin, C</t>
  </si>
  <si>
    <t>Duty</t>
  </si>
  <si>
    <t>Hot</t>
  </si>
  <si>
    <t>Hxtable</t>
  </si>
  <si>
    <t>Duty, kW</t>
  </si>
  <si>
    <t>HX-01a</t>
  </si>
  <si>
    <t>HX-01b</t>
  </si>
  <si>
    <t>HX-05</t>
  </si>
  <si>
    <t>Temperature Profile curves</t>
  </si>
  <si>
    <t>Q</t>
  </si>
  <si>
    <t>offset</t>
  </si>
  <si>
    <t>S6c</t>
  </si>
  <si>
    <t>S5b</t>
  </si>
  <si>
    <t>S5c</t>
  </si>
  <si>
    <t>DT pinch</t>
  </si>
  <si>
    <t>Before Heat integration</t>
  </si>
  <si>
    <t>After Heat Integration</t>
  </si>
  <si>
    <t>Steam</t>
  </si>
  <si>
    <t>HX-05a</t>
  </si>
  <si>
    <t>HX-05b</t>
  </si>
  <si>
    <t>Air</t>
  </si>
  <si>
    <t>HX-08a</t>
  </si>
  <si>
    <t>HX-08b</t>
  </si>
  <si>
    <t>Distillation Column</t>
  </si>
  <si>
    <t>Feed</t>
  </si>
  <si>
    <t>Top (condenser)</t>
  </si>
  <si>
    <t>Reflux</t>
  </si>
  <si>
    <t>Vs</t>
  </si>
  <si>
    <t>Vflow (S14c)</t>
  </si>
  <si>
    <t>nflow (S14c)</t>
  </si>
  <si>
    <t>Bar</t>
  </si>
  <si>
    <t>m^3/s</t>
  </si>
  <si>
    <t>Dc</t>
  </si>
  <si>
    <t>Bottom (reboiler)</t>
  </si>
  <si>
    <t>Total trays and diameter</t>
  </si>
  <si>
    <t xml:space="preserve">Total trays </t>
  </si>
  <si>
    <t>Height of coluimn</t>
  </si>
  <si>
    <t>S14c</t>
  </si>
  <si>
    <t>S9c</t>
  </si>
  <si>
    <t>LP steam</t>
  </si>
  <si>
    <t xml:space="preserve">Membrane Seperation block </t>
  </si>
  <si>
    <t xml:space="preserve">Selectivity </t>
  </si>
  <si>
    <t>barrer</t>
  </si>
  <si>
    <t>Permeance</t>
  </si>
  <si>
    <t>Flux</t>
  </si>
  <si>
    <t>mol*m/ [s*m^2*pa]</t>
  </si>
  <si>
    <t>nflow [S3]</t>
  </si>
  <si>
    <t>Thickness of membrane</t>
  </si>
  <si>
    <t>DeltaP mem</t>
  </si>
  <si>
    <t>mol/m^2*s</t>
  </si>
  <si>
    <t>Area</t>
  </si>
  <si>
    <t>m^2</t>
  </si>
  <si>
    <t>Cost</t>
  </si>
  <si>
    <t>$</t>
  </si>
  <si>
    <t>for 100$/m^2</t>
  </si>
  <si>
    <t>Scaling Factor-1</t>
  </si>
  <si>
    <t>P, bar</t>
  </si>
  <si>
    <t>T, C</t>
  </si>
  <si>
    <t>dmcat</t>
  </si>
  <si>
    <t>HX-comp 03 series</t>
  </si>
  <si>
    <t>HX-cmp04</t>
  </si>
  <si>
    <t>S2 series</t>
  </si>
  <si>
    <t>S1 series</t>
  </si>
  <si>
    <t>R</t>
  </si>
  <si>
    <t>Nshells</t>
  </si>
  <si>
    <t>F</t>
  </si>
  <si>
    <t>DTlm, C</t>
  </si>
  <si>
    <t>U, W/m^2-K</t>
  </si>
  <si>
    <t>Area, m^2</t>
  </si>
  <si>
    <t>Fan power, kW</t>
  </si>
  <si>
    <t>mol/s air</t>
  </si>
  <si>
    <t>Vflow of air, m^3/s</t>
  </si>
  <si>
    <t>DP air through bundle, Pa</t>
  </si>
  <si>
    <t>Vessels</t>
  </si>
  <si>
    <t>Label</t>
  </si>
  <si>
    <t>D,m</t>
  </si>
  <si>
    <t>H,m</t>
  </si>
  <si>
    <t>H/D</t>
  </si>
  <si>
    <t>Volume, m^3</t>
  </si>
  <si>
    <t>Material</t>
  </si>
  <si>
    <t>ASME_SA202</t>
  </si>
  <si>
    <r>
      <t>ρ</t>
    </r>
    <r>
      <rPr>
        <sz val="8.8000000000000007"/>
        <color theme="1"/>
        <rFont val="Calibri"/>
        <family val="2"/>
      </rPr>
      <t>_material</t>
    </r>
    <r>
      <rPr>
        <sz val="11"/>
        <color theme="1"/>
        <rFont val="Calibri"/>
        <family val="2"/>
      </rPr>
      <t>, kg/m^3</t>
    </r>
  </si>
  <si>
    <t>S,bar</t>
  </si>
  <si>
    <t>te, inch</t>
  </si>
  <si>
    <t>t, m</t>
  </si>
  <si>
    <t>Vshell, m^3</t>
  </si>
  <si>
    <t>Mshell, kg=</t>
  </si>
  <si>
    <t>pi*D^2/4*(H/D)*D = V</t>
  </si>
  <si>
    <t>D = (V*4/pi/(h/d))^0.333</t>
  </si>
  <si>
    <t>R-01</t>
  </si>
  <si>
    <t>C-08</t>
  </si>
  <si>
    <t>V-09</t>
  </si>
  <si>
    <t xml:space="preserve">min size of a storage tank </t>
  </si>
  <si>
    <t>V= a multiple of those dimensions</t>
  </si>
  <si>
    <t>Cost of Equipment (2010 USD - CEPCI=533, Carbon S teel, Gulf coast location)</t>
  </si>
  <si>
    <t>Capital cost (CAPEX)</t>
  </si>
  <si>
    <t>2021 Operational cost (OPEX)</t>
  </si>
  <si>
    <t>Net present value evaluation</t>
  </si>
  <si>
    <t>Equipment</t>
  </si>
  <si>
    <t xml:space="preserve"> Units forSize,S</t>
  </si>
  <si>
    <t>S_lower</t>
  </si>
  <si>
    <t>S_upper</t>
  </si>
  <si>
    <t xml:space="preserve"> a</t>
  </si>
  <si>
    <t xml:space="preserve"> b</t>
  </si>
  <si>
    <t xml:space="preserve"> n</t>
  </si>
  <si>
    <t>row</t>
  </si>
  <si>
    <t>Item</t>
  </si>
  <si>
    <t xml:space="preserve"> Units for S</t>
  </si>
  <si>
    <t>S_min</t>
  </si>
  <si>
    <t>S_max</t>
  </si>
  <si>
    <t>n</t>
  </si>
  <si>
    <t>Quantity</t>
  </si>
  <si>
    <t>S</t>
  </si>
  <si>
    <t>USD</t>
  </si>
  <si>
    <t>Fluids</t>
  </si>
  <si>
    <t>Fluids–Solids</t>
  </si>
  <si>
    <t xml:space="preserve"> Solids</t>
  </si>
  <si>
    <t>Direct Manufacturing Cost</t>
  </si>
  <si>
    <t>Unit</t>
  </si>
  <si>
    <t>2021 USD/unit</t>
  </si>
  <si>
    <t>Amount</t>
  </si>
  <si>
    <t>time of construction (years)</t>
  </si>
  <si>
    <t>Agitators &amp;mixers-Propeller</t>
  </si>
  <si>
    <t>driverpower,kW</t>
  </si>
  <si>
    <t>Major equipment,total purchased cost</t>
  </si>
  <si>
    <t>Ce</t>
  </si>
  <si>
    <t xml:space="preserve"> Ce</t>
  </si>
  <si>
    <t>Kg</t>
  </si>
  <si>
    <t>Loan interest%</t>
  </si>
  <si>
    <t>CO2 captured</t>
  </si>
  <si>
    <t>$/kg</t>
  </si>
  <si>
    <t>Agitators &amp;mixers-Spiral ribbonmixer</t>
  </si>
  <si>
    <t>fp Piping</t>
  </si>
  <si>
    <t>inflation%</t>
  </si>
  <si>
    <t>methanol</t>
  </si>
  <si>
    <t>Agitators &amp;mixers-Static mixer</t>
  </si>
  <si>
    <t>liters/s</t>
  </si>
  <si>
    <t>fm, material</t>
  </si>
  <si>
    <t>?</t>
  </si>
  <si>
    <t>Catalyst</t>
  </si>
  <si>
    <t>Year (starting 2021)</t>
  </si>
  <si>
    <t>Capital</t>
  </si>
  <si>
    <t>COM-col_costs</t>
  </si>
  <si>
    <t>col_costs</t>
  </si>
  <si>
    <t>Income</t>
  </si>
  <si>
    <t>ΔNPV year</t>
  </si>
  <si>
    <t>Cummulative NPV</t>
  </si>
  <si>
    <t>Boilers-Packaged, 15 to 40bar</t>
  </si>
  <si>
    <t>kg/h steam</t>
  </si>
  <si>
    <t>(1+fp)fm</t>
  </si>
  <si>
    <t>Electricity</t>
  </si>
  <si>
    <t>kWh</t>
  </si>
  <si>
    <t>Boilers-Field erected,10 to 70bar</t>
  </si>
  <si>
    <t>kg/hsteam</t>
  </si>
  <si>
    <t>fer Equipment erection</t>
  </si>
  <si>
    <t>HP steam</t>
  </si>
  <si>
    <t>GJ</t>
  </si>
  <si>
    <t>Centrifuges-High speed disk</t>
  </si>
  <si>
    <t>diameter,m</t>
  </si>
  <si>
    <t>fi Instrumentation and control</t>
  </si>
  <si>
    <t xml:space="preserve">LP steam </t>
  </si>
  <si>
    <t>Centrifuges-atmospheric suspended basket</t>
  </si>
  <si>
    <t>power,kW</t>
  </si>
  <si>
    <t>fel Electrical</t>
  </si>
  <si>
    <t>Operating labour (Col)</t>
  </si>
  <si>
    <t>Hr</t>
  </si>
  <si>
    <t>Compressors-Blower</t>
  </si>
  <si>
    <t>m3/h</t>
  </si>
  <si>
    <t>fc Civil</t>
  </si>
  <si>
    <t>Supervisory labour</t>
  </si>
  <si>
    <t>0.18Col</t>
  </si>
  <si>
    <t>Compressors-Centrifugal</t>
  </si>
  <si>
    <t>driver power,kW</t>
  </si>
  <si>
    <t>fs Structures and buildings</t>
  </si>
  <si>
    <t>Maintenance</t>
  </si>
  <si>
    <t>Compressors-Reciprocating</t>
  </si>
  <si>
    <t>fl Lagging (insulation) and paint</t>
  </si>
  <si>
    <t>Lab charges</t>
  </si>
  <si>
    <t>0.15Col</t>
  </si>
  <si>
    <t>Conveyors-Belt, 0.5m wide</t>
  </si>
  <si>
    <t>length, m</t>
  </si>
  <si>
    <t>ISBL cost, C = Ce ×((1+fp)fm+fer+fi+fel+fc+fs+fl))</t>
  </si>
  <si>
    <t>Indirect Manufacturing Cost</t>
  </si>
  <si>
    <t>Unit price</t>
  </si>
  <si>
    <t>Conveyors-Belt, 1.0m wide</t>
  </si>
  <si>
    <t xml:space="preserve"> length, m</t>
  </si>
  <si>
    <t>Offsites (OS)</t>
  </si>
  <si>
    <t>Depreciation</t>
  </si>
  <si>
    <t>0.1 fci</t>
  </si>
  <si>
    <t>NOT INCLUDED</t>
  </si>
  <si>
    <t>Conveyors-Bucket elevator, 0.5m bucket</t>
  </si>
  <si>
    <t xml:space="preserve"> height, m</t>
  </si>
  <si>
    <t>Design and Engineering (D&amp;E)</t>
  </si>
  <si>
    <t>Taxes and Insurance</t>
  </si>
  <si>
    <t>0.03fci</t>
  </si>
  <si>
    <t>Crushers-Reversible hammermill</t>
  </si>
  <si>
    <t>t/h</t>
  </si>
  <si>
    <t>Contingency (X)</t>
  </si>
  <si>
    <t>Overhead</t>
  </si>
  <si>
    <t>0.7col+0.03fci</t>
  </si>
  <si>
    <t>Crushers-Pulverizers</t>
  </si>
  <si>
    <t>kg/h</t>
  </si>
  <si>
    <t>Fixed capital Investment (FCI) =ISBL*(1+OS)(1+D&amp;E+X)</t>
  </si>
  <si>
    <t>Administration</t>
  </si>
  <si>
    <t>0.17col+0.009fci</t>
  </si>
  <si>
    <t>Crushers-Jaw crusher</t>
  </si>
  <si>
    <t xml:space="preserve"> t/h</t>
  </si>
  <si>
    <t>FCI @CPCI = 610 (2021) = FCI*610/533</t>
  </si>
  <si>
    <t>Cost of Manufacturing (COM) @ 2021</t>
  </si>
  <si>
    <t>Crushers-Gyratory crusher</t>
  </si>
  <si>
    <t>Location Factor (LF)</t>
  </si>
  <si>
    <t>Crushers-Ball mill</t>
  </si>
  <si>
    <t>FCI@ (2021)@location =  FCI@2021*LF</t>
  </si>
  <si>
    <t>Crystallizers-Scraped surface</t>
  </si>
  <si>
    <t>Dryers-Direct contact Rotary</t>
  </si>
  <si>
    <t>m2</t>
  </si>
  <si>
    <t>Dryers-Atmospheric tray batch</t>
  </si>
  <si>
    <t>area,m2</t>
  </si>
  <si>
    <t>Dryers-Spray dryer</t>
  </si>
  <si>
    <t xml:space="preserve"> evap ratekg/h</t>
  </si>
  <si>
    <t>Evaporators-Vertical tube</t>
  </si>
  <si>
    <t>area, m2</t>
  </si>
  <si>
    <t>Evaporators- Agitated falling film</t>
  </si>
  <si>
    <t>Exchangers-U-tube shell and tube</t>
  </si>
  <si>
    <t xml:space="preserve"> area, m2</t>
  </si>
  <si>
    <t>Exchangers-Floating head shell and tube</t>
  </si>
  <si>
    <t>Exchangers-Double pipe</t>
  </si>
  <si>
    <t>Exchangers-Thermosiphon reboiler</t>
  </si>
  <si>
    <t>Exchangers-U-tube Kettle reboiler</t>
  </si>
  <si>
    <t>Exchangers-Plate andframe</t>
  </si>
  <si>
    <t>Filters-Plate and frame</t>
  </si>
  <si>
    <t>capacity,m3</t>
  </si>
  <si>
    <t>Tottal</t>
  </si>
  <si>
    <t>Filters-Vacuum drum</t>
  </si>
  <si>
    <t>area m2</t>
  </si>
  <si>
    <t>Furnaces-Cylindrical duty</t>
  </si>
  <si>
    <t xml:space="preserve"> MW</t>
  </si>
  <si>
    <t>Furnaces-Box duty</t>
  </si>
  <si>
    <t>Packings-304 ss Raschig rings</t>
  </si>
  <si>
    <t>m3</t>
  </si>
  <si>
    <t>Packings- Ceramic intalox saddles</t>
  </si>
  <si>
    <t xml:space="preserve"> m3</t>
  </si>
  <si>
    <t>Packings- 304 ss Pall rings</t>
  </si>
  <si>
    <t>Packings- PVC structured packing</t>
  </si>
  <si>
    <t>Packings-304 ss structured packing</t>
  </si>
  <si>
    <t>Pressure vessels-Vertical, cs shell</t>
  </si>
  <si>
    <t>mass,kg</t>
  </si>
  <si>
    <t>Pressure vessels- Horizontal, cs shell</t>
  </si>
  <si>
    <t>Pressure vessels-Vertical, 304ss shell</t>
  </si>
  <si>
    <t>Pressure vessels-Horizontal, 304ss shell</t>
  </si>
  <si>
    <t>Pumps and drivers-Single stage centrifugal</t>
  </si>
  <si>
    <t>flow, liters/s</t>
  </si>
  <si>
    <t>Pumps and drivers-Explosion proof motor</t>
  </si>
  <si>
    <t>power, kW</t>
  </si>
  <si>
    <t>Pumps and drivers-Condensing steam turbine</t>
  </si>
  <si>
    <t>Reactors-Jacketed, agitated volume,</t>
  </si>
  <si>
    <t>Reactors-Jacketed, agitated,glass lined</t>
  </si>
  <si>
    <t>volume,m3</t>
  </si>
  <si>
    <t>Tanks-floating roof</t>
  </si>
  <si>
    <t>capacity, m3</t>
  </si>
  <si>
    <t>Tanks-cone roof</t>
  </si>
  <si>
    <t>Sieve trays</t>
  </si>
  <si>
    <t>Valve trays</t>
  </si>
  <si>
    <t>Bubble cap trays</t>
  </si>
  <si>
    <t>Utilities-Cooling tower &amp; pumps</t>
  </si>
  <si>
    <t>flow,liters/s</t>
  </si>
  <si>
    <t>Utilities-Packaged mechanical refrigerator</t>
  </si>
  <si>
    <t xml:space="preserve"> duty,kW</t>
  </si>
  <si>
    <t>Utilities-Water ion exchange  plant</t>
  </si>
  <si>
    <t>flow m3/h</t>
  </si>
  <si>
    <t>CMP03-H2 series</t>
  </si>
  <si>
    <t>CMP04-CO2 series</t>
  </si>
  <si>
    <t>CMP-02</t>
  </si>
  <si>
    <t>Various</t>
  </si>
  <si>
    <t>H2 membrane</t>
  </si>
  <si>
    <t>M-07</t>
  </si>
  <si>
    <t>Air-cooled heat exchanger</t>
  </si>
  <si>
    <t xml:space="preserve"> area, m3</t>
  </si>
  <si>
    <t xml:space="preserve"> area, m4</t>
  </si>
  <si>
    <t xml:space="preserve"> area, m5</t>
  </si>
  <si>
    <t>HX of CMP-04 Series</t>
  </si>
  <si>
    <t>HX of CMP-03 series</t>
  </si>
  <si>
    <t>Nol</t>
  </si>
  <si>
    <t>0.06FCI</t>
  </si>
  <si>
    <t>NPV@25 years</t>
  </si>
  <si>
    <t>% deviation</t>
  </si>
  <si>
    <t>Methanol Pricing</t>
  </si>
  <si>
    <t>CO2 carbon Pricing</t>
  </si>
  <si>
    <t>NPV @ 25 years</t>
  </si>
  <si>
    <t>%dev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</si>
</sst>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.8000000000000007"/>
      <color theme="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43" fontId="6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quotePrefix="1"/>
    <xf numFmtId="0" fontId="0" fillId="9" borderId="0" xfId="0" applyFill="1"/>
    <xf numFmtId="0" fontId="0" fillId="10" borderId="4" xfId="0" applyFill="1" applyBorder="1"/>
    <xf numFmtId="0" fontId="0" fillId="13" borderId="4" xfId="0" applyFill="1" applyBorder="1"/>
    <xf numFmtId="11" fontId="0" fillId="13" borderId="4" xfId="0" applyNumberFormat="1" applyFill="1" applyBorder="1"/>
    <xf numFmtId="0" fontId="0" fillId="0" borderId="4" xfId="0" applyBorder="1"/>
    <xf numFmtId="0" fontId="0" fillId="14" borderId="0" xfId="0" applyFill="1"/>
    <xf numFmtId="11" fontId="0" fillId="14" borderId="0" xfId="0" applyNumberFormat="1" applyFill="1"/>
    <xf numFmtId="0" fontId="0" fillId="4" borderId="4" xfId="0" applyFill="1" applyBorder="1"/>
    <xf numFmtId="0" fontId="0" fillId="5" borderId="4" xfId="0" applyFill="1" applyBorder="1"/>
    <xf numFmtId="0" fontId="4" fillId="5" borderId="4" xfId="0" applyFont="1" applyFill="1" applyBorder="1"/>
    <xf numFmtId="11" fontId="0" fillId="5" borderId="4" xfId="0" applyNumberForma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10" borderId="5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1" borderId="5" xfId="0" applyFill="1" applyBorder="1"/>
    <xf numFmtId="0" fontId="0" fillId="7" borderId="4" xfId="0" applyFill="1" applyBorder="1"/>
    <xf numFmtId="0" fontId="0" fillId="8" borderId="4" xfId="0" applyFill="1" applyBorder="1"/>
    <xf numFmtId="0" fontId="0" fillId="14" borderId="5" xfId="0" applyFill="1" applyBorder="1"/>
    <xf numFmtId="0" fontId="0" fillId="15" borderId="4" xfId="0" applyFill="1" applyBorder="1"/>
    <xf numFmtId="0" fontId="0" fillId="16" borderId="4" xfId="0" applyFill="1" applyBorder="1"/>
    <xf numFmtId="0" fontId="0" fillId="16" borderId="5" xfId="0" applyFill="1" applyBorder="1"/>
    <xf numFmtId="0" fontId="0" fillId="2" borderId="4" xfId="0" applyFill="1" applyBorder="1"/>
    <xf numFmtId="0" fontId="0" fillId="11" borderId="4" xfId="0" applyFill="1" applyBorder="1"/>
    <xf numFmtId="11" fontId="0" fillId="0" borderId="4" xfId="0" applyNumberFormat="1" applyBorder="1"/>
    <xf numFmtId="0" fontId="0" fillId="0" borderId="3" xfId="0" applyBorder="1"/>
    <xf numFmtId="0" fontId="0" fillId="0" borderId="2" xfId="0" applyBorder="1"/>
    <xf numFmtId="0" fontId="0" fillId="17" borderId="4" xfId="0" applyFill="1" applyBorder="1"/>
    <xf numFmtId="0" fontId="0" fillId="17" borderId="5" xfId="0" applyFill="1" applyBorder="1"/>
    <xf numFmtId="0" fontId="0" fillId="17" borderId="0" xfId="0" applyFill="1"/>
    <xf numFmtId="0" fontId="0" fillId="3" borderId="5" xfId="0" applyFill="1" applyBorder="1"/>
    <xf numFmtId="0" fontId="0" fillId="12" borderId="4" xfId="0" applyFill="1" applyBorder="1"/>
    <xf numFmtId="0" fontId="0" fillId="6" borderId="4" xfId="0" applyFill="1" applyBorder="1"/>
    <xf numFmtId="11" fontId="0" fillId="6" borderId="4" xfId="0" applyNumberFormat="1" applyFill="1" applyBorder="1"/>
    <xf numFmtId="0" fontId="0" fillId="7" borderId="0" xfId="0" applyFill="1"/>
    <xf numFmtId="0" fontId="0" fillId="3" borderId="0" xfId="0" applyFill="1"/>
    <xf numFmtId="0" fontId="5" fillId="0" borderId="0" xfId="1"/>
    <xf numFmtId="0" fontId="0" fillId="0" borderId="4" xfId="0" applyFill="1" applyBorder="1"/>
    <xf numFmtId="0" fontId="0" fillId="3" borderId="4" xfId="0" applyFill="1" applyBorder="1"/>
    <xf numFmtId="11" fontId="0" fillId="0" borderId="0" xfId="0" applyNumberFormat="1"/>
    <xf numFmtId="11" fontId="0" fillId="0" borderId="0" xfId="0" quotePrefix="1" applyNumberFormat="1"/>
    <xf numFmtId="11" fontId="0" fillId="10" borderId="4" xfId="0" applyNumberFormat="1" applyFill="1" applyBorder="1"/>
    <xf numFmtId="0" fontId="0" fillId="0" borderId="4" xfId="0" applyNumberFormat="1" applyFill="1" applyBorder="1"/>
    <xf numFmtId="0" fontId="0" fillId="18" borderId="4" xfId="0" applyFill="1" applyBorder="1"/>
    <xf numFmtId="0" fontId="0" fillId="18" borderId="0" xfId="0" applyFill="1"/>
    <xf numFmtId="11" fontId="0" fillId="9" borderId="0" xfId="0" applyNumberFormat="1" applyFill="1"/>
    <xf numFmtId="0" fontId="0" fillId="3" borderId="10" xfId="0" applyFill="1" applyBorder="1"/>
    <xf numFmtId="0" fontId="0" fillId="0" borderId="0" xfId="0" applyFill="1" applyBorder="1"/>
    <xf numFmtId="0" fontId="0" fillId="2" borderId="0" xfId="0" applyFill="1"/>
    <xf numFmtId="0" fontId="0" fillId="0" borderId="0" xfId="0" applyNumberFormat="1"/>
    <xf numFmtId="0" fontId="0" fillId="0" borderId="4" xfId="0" applyNumberFormat="1" applyBorder="1"/>
    <xf numFmtId="0" fontId="0" fillId="19" borderId="4" xfId="0" applyFill="1" applyBorder="1"/>
    <xf numFmtId="0" fontId="0" fillId="9" borderId="4" xfId="0" applyFill="1" applyBorder="1"/>
    <xf numFmtId="0" fontId="0" fillId="0" borderId="4" xfId="0" quotePrefix="1" applyBorder="1"/>
    <xf numFmtId="0" fontId="0" fillId="9" borderId="1" xfId="0" applyFill="1" applyBorder="1"/>
    <xf numFmtId="0" fontId="0" fillId="20" borderId="4" xfId="0" applyFill="1" applyBorder="1"/>
    <xf numFmtId="0" fontId="0" fillId="0" borderId="0" xfId="0" applyFill="1"/>
    <xf numFmtId="0" fontId="7" fillId="11" borderId="4" xfId="0" applyFont="1" applyFill="1" applyBorder="1"/>
    <xf numFmtId="0" fontId="0" fillId="7" borderId="11" xfId="0" applyFill="1" applyBorder="1"/>
    <xf numFmtId="3" fontId="0" fillId="0" borderId="0" xfId="0" applyNumberFormat="1"/>
    <xf numFmtId="0" fontId="0" fillId="11" borderId="0" xfId="0" applyFill="1"/>
    <xf numFmtId="43" fontId="0" fillId="0" borderId="0" xfId="2" applyFont="1"/>
    <xf numFmtId="164" fontId="0" fillId="0" borderId="0" xfId="0" applyNumberFormat="1"/>
    <xf numFmtId="0" fontId="0" fillId="21" borderId="4" xfId="0" applyFill="1" applyBorder="1"/>
    <xf numFmtId="0" fontId="4" fillId="0" borderId="4" xfId="0" applyFont="1" applyFill="1" applyBorder="1"/>
    <xf numFmtId="0" fontId="5" fillId="0" borderId="4" xfId="1" applyFill="1" applyBorder="1"/>
    <xf numFmtId="0" fontId="4" fillId="2" borderId="4" xfId="0" applyFont="1" applyFill="1" applyBorder="1"/>
    <xf numFmtId="0" fontId="0" fillId="0" borderId="0" xfId="0" applyBorder="1"/>
    <xf numFmtId="0" fontId="4" fillId="0" borderId="0" xfId="0" applyFont="1" applyBorder="1"/>
    <xf numFmtId="164" fontId="0" fillId="0" borderId="4" xfId="0" applyNumberFormat="1" applyBorder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Conversion</a:t>
            </a:r>
            <a:r>
              <a:rPr lang="en-US" baseline="0"/>
              <a:t> vs Catalyst mass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3462972832787"/>
          <c:y val="0.24947000596624608"/>
          <c:w val="0.76877815015541806"/>
          <c:h val="0.56944832453809757"/>
        </c:manualLayout>
      </c:layout>
      <c:scatterChart>
        <c:scatterStyle val="smoothMarker"/>
        <c:varyColors val="0"/>
        <c:ser>
          <c:idx val="1"/>
          <c:order val="0"/>
          <c:tx>
            <c:v>Methanol</c:v>
          </c:tx>
          <c:xVal>
            <c:numRef>
              <c:f>'Reactor sheet'!$D$15:$D$315</c:f>
              <c:numCache>
                <c:formatCode>General</c:formatCode>
                <c:ptCount val="301"/>
                <c:pt idx="0">
                  <c:v>0</c:v>
                </c:pt>
                <c:pt idx="1">
                  <c:v>0.4</c:v>
                </c:pt>
                <c:pt idx="2">
                  <c:v>0.81200000000000006</c:v>
                </c:pt>
                <c:pt idx="3">
                  <c:v>1.2363600000000001</c:v>
                </c:pt>
                <c:pt idx="4">
                  <c:v>1.6734508000000001</c:v>
                </c:pt>
                <c:pt idx="5">
                  <c:v>2.1236543240000003</c:v>
                </c:pt>
                <c:pt idx="6">
                  <c:v>2.5873639537200006</c:v>
                </c:pt>
                <c:pt idx="7">
                  <c:v>3.0649848723316007</c:v>
                </c:pt>
                <c:pt idx="8">
                  <c:v>3.556934418501549</c:v>
                </c:pt>
                <c:pt idx="9">
                  <c:v>4.0636424510565954</c:v>
                </c:pt>
                <c:pt idx="10">
                  <c:v>4.5855517245882931</c:v>
                </c:pt>
                <c:pt idx="11">
                  <c:v>5.1231182763259424</c:v>
                </c:pt>
                <c:pt idx="12">
                  <c:v>5.6768118246157204</c:v>
                </c:pt>
                <c:pt idx="13">
                  <c:v>6.2471161793541921</c:v>
                </c:pt>
                <c:pt idx="14">
                  <c:v>6.8345296647348182</c:v>
                </c:pt>
                <c:pt idx="15">
                  <c:v>7.4395655546768626</c:v>
                </c:pt>
                <c:pt idx="16">
                  <c:v>8.0627525213171687</c:v>
                </c:pt>
                <c:pt idx="17">
                  <c:v>8.7046350969566841</c:v>
                </c:pt>
                <c:pt idx="18">
                  <c:v>9.3657741498653841</c:v>
                </c:pt>
                <c:pt idx="19">
                  <c:v>10.046747374361345</c:v>
                </c:pt>
                <c:pt idx="20">
                  <c:v>10.748149795592186</c:v>
                </c:pt>
                <c:pt idx="21">
                  <c:v>11.470594289459951</c:v>
                </c:pt>
                <c:pt idx="22">
                  <c:v>12.214712118143749</c:v>
                </c:pt>
                <c:pt idx="23">
                  <c:v>12.981153481688063</c:v>
                </c:pt>
                <c:pt idx="24">
                  <c:v>13.770588086138705</c:v>
                </c:pt>
                <c:pt idx="25">
                  <c:v>14.583705728722867</c:v>
                </c:pt>
                <c:pt idx="26">
                  <c:v>15.421216900584554</c:v>
                </c:pt>
                <c:pt idx="27">
                  <c:v>16.283853407602091</c:v>
                </c:pt>
                <c:pt idx="28">
                  <c:v>17.172369009830156</c:v>
                </c:pt>
                <c:pt idx="29">
                  <c:v>18.087540080125063</c:v>
                </c:pt>
                <c:pt idx="30">
                  <c:v>19.030166282528814</c:v>
                </c:pt>
                <c:pt idx="31">
                  <c:v>20.00107127100468</c:v>
                </c:pt>
                <c:pt idx="32">
                  <c:v>21.001103409134821</c:v>
                </c:pt>
                <c:pt idx="33">
                  <c:v>22.031136511408867</c:v>
                </c:pt>
                <c:pt idx="34">
                  <c:v>23.092070606751133</c:v>
                </c:pt>
                <c:pt idx="35">
                  <c:v>24.184832724953665</c:v>
                </c:pt>
                <c:pt idx="36">
                  <c:v>25.310377706702276</c:v>
                </c:pt>
                <c:pt idx="37">
                  <c:v>26.469689037903343</c:v>
                </c:pt>
                <c:pt idx="38">
                  <c:v>27.663779709040444</c:v>
                </c:pt>
                <c:pt idx="39">
                  <c:v>28.893693100311658</c:v>
                </c:pt>
                <c:pt idx="40">
                  <c:v>30.16050389332101</c:v>
                </c:pt>
                <c:pt idx="41">
                  <c:v>31.465319010120641</c:v>
                </c:pt>
                <c:pt idx="42">
                  <c:v>32.809278580424262</c:v>
                </c:pt>
                <c:pt idx="43">
                  <c:v>34.193556937836988</c:v>
                </c:pt>
                <c:pt idx="44">
                  <c:v>35.619363645972101</c:v>
                </c:pt>
                <c:pt idx="45">
                  <c:v>37.087944555351264</c:v>
                </c:pt>
                <c:pt idx="46">
                  <c:v>38.600582892011801</c:v>
                </c:pt>
                <c:pt idx="47">
                  <c:v>40.158600378772157</c:v>
                </c:pt>
                <c:pt idx="48">
                  <c:v>41.763358390135323</c:v>
                </c:pt>
                <c:pt idx="49">
                  <c:v>43.416259141839383</c:v>
                </c:pt>
                <c:pt idx="50">
                  <c:v>45.118746916094565</c:v>
                </c:pt>
                <c:pt idx="51">
                  <c:v>46.872309323577404</c:v>
                </c:pt>
                <c:pt idx="52">
                  <c:v>48.678478603284731</c:v>
                </c:pt>
                <c:pt idx="53">
                  <c:v>50.538832961383271</c:v>
                </c:pt>
                <c:pt idx="54">
                  <c:v>52.454997950224772</c:v>
                </c:pt>
                <c:pt idx="55">
                  <c:v>54.428647888731518</c:v>
                </c:pt>
                <c:pt idx="56">
                  <c:v>56.461507325393463</c:v>
                </c:pt>
                <c:pt idx="57">
                  <c:v>58.555352545155266</c:v>
                </c:pt>
                <c:pt idx="58">
                  <c:v>60.712013121509926</c:v>
                </c:pt>
                <c:pt idx="59">
                  <c:v>62.933373515155225</c:v>
                </c:pt>
                <c:pt idx="60">
                  <c:v>65.221374720609887</c:v>
                </c:pt>
                <c:pt idx="61">
                  <c:v>67.578015962228179</c:v>
                </c:pt>
                <c:pt idx="62">
                  <c:v>70.005356441095032</c:v>
                </c:pt>
                <c:pt idx="63">
                  <c:v>72.505517134327889</c:v>
                </c:pt>
                <c:pt idx="64">
                  <c:v>75.080682648357723</c:v>
                </c:pt>
                <c:pt idx="65">
                  <c:v>77.733103127808448</c:v>
                </c:pt>
                <c:pt idx="66">
                  <c:v>80.465096221642696</c:v>
                </c:pt>
                <c:pt idx="67">
                  <c:v>83.279049108291986</c:v>
                </c:pt>
                <c:pt idx="68">
                  <c:v>86.177420581540744</c:v>
                </c:pt>
                <c:pt idx="69">
                  <c:v>89.162743198986973</c:v>
                </c:pt>
                <c:pt idx="70">
                  <c:v>92.237625494956589</c:v>
                </c:pt>
                <c:pt idx="71">
                  <c:v>95.404754259805287</c:v>
                </c:pt>
                <c:pt idx="72">
                  <c:v>98.666896887599449</c:v>
                </c:pt>
                <c:pt idx="73">
                  <c:v>102.02690379422744</c:v>
                </c:pt>
                <c:pt idx="74">
                  <c:v>105.48771090805425</c:v>
                </c:pt>
                <c:pt idx="75">
                  <c:v>109.05234223529588</c:v>
                </c:pt>
                <c:pt idx="76">
                  <c:v>112.72391250235476</c:v>
                </c:pt>
                <c:pt idx="77">
                  <c:v>116.50562987742541</c:v>
                </c:pt>
                <c:pt idx="78">
                  <c:v>120.40079877374816</c:v>
                </c:pt>
                <c:pt idx="79">
                  <c:v>124.41282273696061</c:v>
                </c:pt>
                <c:pt idx="80">
                  <c:v>128.54520741906941</c:v>
                </c:pt>
                <c:pt idx="81">
                  <c:v>132.80156364164151</c:v>
                </c:pt>
                <c:pt idx="82">
                  <c:v>137.18561055089074</c:v>
                </c:pt>
                <c:pt idx="83">
                  <c:v>141.70117886741747</c:v>
                </c:pt>
                <c:pt idx="84">
                  <c:v>146.35221423344001</c:v>
                </c:pt>
                <c:pt idx="85">
                  <c:v>151.14278066044321</c:v>
                </c:pt>
                <c:pt idx="86">
                  <c:v>156.07706408025652</c:v>
                </c:pt>
                <c:pt idx="87">
                  <c:v>161.15937600266423</c:v>
                </c:pt>
                <c:pt idx="88">
                  <c:v>166.39415728274417</c:v>
                </c:pt>
                <c:pt idx="89">
                  <c:v>171.7859820012265</c:v>
                </c:pt>
                <c:pt idx="90">
                  <c:v>177.33956146126329</c:v>
                </c:pt>
                <c:pt idx="91">
                  <c:v>183.05974830510118</c:v>
                </c:pt>
                <c:pt idx="92">
                  <c:v>188.95154075425421</c:v>
                </c:pt>
                <c:pt idx="93">
                  <c:v>195.02008697688183</c:v>
                </c:pt>
                <c:pt idx="94">
                  <c:v>201.2706895861883</c:v>
                </c:pt>
                <c:pt idx="95">
                  <c:v>207.70881027377396</c:v>
                </c:pt>
                <c:pt idx="96">
                  <c:v>214.34007458198718</c:v>
                </c:pt>
                <c:pt idx="97">
                  <c:v>221.1702768194468</c:v>
                </c:pt>
                <c:pt idx="98">
                  <c:v>228.20538512403022</c:v>
                </c:pt>
                <c:pt idx="99">
                  <c:v>235.45154667775114</c:v>
                </c:pt>
                <c:pt idx="100">
                  <c:v>242.91509307808369</c:v>
                </c:pt>
                <c:pt idx="101">
                  <c:v>250.60254587042621</c:v>
                </c:pt>
                <c:pt idx="102">
                  <c:v>258.52062224653901</c:v>
                </c:pt>
                <c:pt idx="103">
                  <c:v>266.6762409139352</c:v>
                </c:pt>
                <c:pt idx="104">
                  <c:v>275.07652814135326</c:v>
                </c:pt>
                <c:pt idx="105">
                  <c:v>283.72882398559386</c:v>
                </c:pt>
                <c:pt idx="106">
                  <c:v>292.64068870516166</c:v>
                </c:pt>
                <c:pt idx="107">
                  <c:v>301.81990936631649</c:v>
                </c:pt>
                <c:pt idx="108">
                  <c:v>311.274506647306</c:v>
                </c:pt>
                <c:pt idx="109">
                  <c:v>321.01274184672519</c:v>
                </c:pt>
                <c:pt idx="110">
                  <c:v>331.04312410212697</c:v>
                </c:pt>
                <c:pt idx="111">
                  <c:v>341.37441782519079</c:v>
                </c:pt>
                <c:pt idx="112">
                  <c:v>352.01565035994651</c:v>
                </c:pt>
                <c:pt idx="113">
                  <c:v>362.97611987074492</c:v>
                </c:pt>
                <c:pt idx="114">
                  <c:v>374.26540346686727</c:v>
                </c:pt>
                <c:pt idx="115">
                  <c:v>385.8933655708733</c:v>
                </c:pt>
                <c:pt idx="116">
                  <c:v>397.87016653799952</c:v>
                </c:pt>
                <c:pt idx="117">
                  <c:v>410.20627153413949</c:v>
                </c:pt>
                <c:pt idx="118">
                  <c:v>422.91245968016369</c:v>
                </c:pt>
                <c:pt idx="119">
                  <c:v>435.9998334705686</c:v>
                </c:pt>
                <c:pt idx="120">
                  <c:v>449.47982847468569</c:v>
                </c:pt>
                <c:pt idx="121">
                  <c:v>463.36422332892624</c:v>
                </c:pt>
                <c:pt idx="122">
                  <c:v>477.66515002879402</c:v>
                </c:pt>
                <c:pt idx="123">
                  <c:v>492.39510452965783</c:v>
                </c:pt>
                <c:pt idx="124">
                  <c:v>507.56695766554759</c:v>
                </c:pt>
                <c:pt idx="125">
                  <c:v>523.19396639551405</c:v>
                </c:pt>
                <c:pt idx="126">
                  <c:v>539.28978538737942</c:v>
                </c:pt>
                <c:pt idx="127">
                  <c:v>555.86847894900086</c:v>
                </c:pt>
                <c:pt idx="128">
                  <c:v>572.94453331747093</c:v>
                </c:pt>
                <c:pt idx="129">
                  <c:v>590.53286931699506</c:v>
                </c:pt>
                <c:pt idx="130">
                  <c:v>608.64885539650493</c:v>
                </c:pt>
                <c:pt idx="131">
                  <c:v>627.30832105840011</c:v>
                </c:pt>
                <c:pt idx="132">
                  <c:v>646.52757069015217</c:v>
                </c:pt>
                <c:pt idx="133">
                  <c:v>666.3233978108567</c:v>
                </c:pt>
                <c:pt idx="134">
                  <c:v>686.71309974518238</c:v>
                </c:pt>
                <c:pt idx="135">
                  <c:v>707.71449273753785</c:v>
                </c:pt>
                <c:pt idx="136">
                  <c:v>729.34592751966397</c:v>
                </c:pt>
                <c:pt idx="137">
                  <c:v>751.62630534525385</c:v>
                </c:pt>
                <c:pt idx="138">
                  <c:v>774.57509450561145</c:v>
                </c:pt>
                <c:pt idx="139">
                  <c:v>798.21234734077984</c:v>
                </c:pt>
                <c:pt idx="140">
                  <c:v>822.55871776100321</c:v>
                </c:pt>
                <c:pt idx="141">
                  <c:v>847.63547929383333</c:v>
                </c:pt>
                <c:pt idx="142">
                  <c:v>873.46454367264835</c:v>
                </c:pt>
                <c:pt idx="143">
                  <c:v>900.06847998282785</c:v>
                </c:pt>
                <c:pt idx="144">
                  <c:v>927.47053438231274</c:v>
                </c:pt>
                <c:pt idx="145">
                  <c:v>955.69465041378214</c:v>
                </c:pt>
                <c:pt idx="146">
                  <c:v>984.76548992619564</c:v>
                </c:pt>
                <c:pt idx="147">
                  <c:v>1014.7084546239815</c:v>
                </c:pt>
                <c:pt idx="148">
                  <c:v>1045.549708262701</c:v>
                </c:pt>
                <c:pt idx="149">
                  <c:v>1077.316199510582</c:v>
                </c:pt>
                <c:pt idx="150">
                  <c:v>1110.0356854958995</c:v>
                </c:pt>
                <c:pt idx="151">
                  <c:v>1143.7367560607765</c:v>
                </c:pt>
                <c:pt idx="152">
                  <c:v>1178.4488587425999</c:v>
                </c:pt>
                <c:pt idx="153">
                  <c:v>1214.2023245048779</c:v>
                </c:pt>
                <c:pt idx="154">
                  <c:v>1251.0283942400242</c:v>
                </c:pt>
                <c:pt idx="155">
                  <c:v>1288.959246067225</c:v>
                </c:pt>
                <c:pt idx="156">
                  <c:v>1328.0280234492418</c:v>
                </c:pt>
                <c:pt idx="157">
                  <c:v>1368.2688641527191</c:v>
                </c:pt>
                <c:pt idx="158">
                  <c:v>1409.7169300773007</c:v>
                </c:pt>
                <c:pt idx="159">
                  <c:v>1452.4084379796197</c:v>
                </c:pt>
                <c:pt idx="160">
                  <c:v>1496.3806911190084</c:v>
                </c:pt>
                <c:pt idx="161">
                  <c:v>1541.6721118525786</c:v>
                </c:pt>
                <c:pt idx="162">
                  <c:v>1588.322275208156</c:v>
                </c:pt>
                <c:pt idx="163">
                  <c:v>1636.3719434644008</c:v>
                </c:pt>
                <c:pt idx="164">
                  <c:v>1685.8631017683329</c:v>
                </c:pt>
                <c:pt idx="165">
                  <c:v>1736.8389948213828</c:v>
                </c:pt>
                <c:pt idx="166">
                  <c:v>1789.3441646660244</c:v>
                </c:pt>
                <c:pt idx="167">
                  <c:v>1843.4244896060052</c:v>
                </c:pt>
                <c:pt idx="168">
                  <c:v>1899.1272242941855</c:v>
                </c:pt>
                <c:pt idx="169">
                  <c:v>1956.5010410230111</c:v>
                </c:pt>
                <c:pt idx="170">
                  <c:v>2015.5960722537015</c:v>
                </c:pt>
                <c:pt idx="171">
                  <c:v>2076.4639544213128</c:v>
                </c:pt>
                <c:pt idx="172">
                  <c:v>2139.1578730539522</c:v>
                </c:pt>
                <c:pt idx="173">
                  <c:v>2203.732609245571</c:v>
                </c:pt>
                <c:pt idx="174">
                  <c:v>2270.2445875229382</c:v>
                </c:pt>
                <c:pt idx="175">
                  <c:v>2338.7519251486265</c:v>
                </c:pt>
                <c:pt idx="176">
                  <c:v>2409.3144829030853</c:v>
                </c:pt>
                <c:pt idx="177">
                  <c:v>2481.993917390178</c:v>
                </c:pt>
                <c:pt idx="178">
                  <c:v>2556.8537349118833</c:v>
                </c:pt>
                <c:pt idx="179">
                  <c:v>2633.9593469592396</c:v>
                </c:pt>
                <c:pt idx="180">
                  <c:v>2713.378127368017</c:v>
                </c:pt>
                <c:pt idx="181">
                  <c:v>2795.1794711890575</c:v>
                </c:pt>
                <c:pt idx="182">
                  <c:v>2879.4348553247291</c:v>
                </c:pt>
                <c:pt idx="183">
                  <c:v>2966.2179009844713</c:v>
                </c:pt>
                <c:pt idx="184">
                  <c:v>3055.6044380140056</c:v>
                </c:pt>
                <c:pt idx="185">
                  <c:v>3147.6725711544259</c:v>
                </c:pt>
                <c:pt idx="186">
                  <c:v>3242.5027482890587</c:v>
                </c:pt>
                <c:pt idx="187">
                  <c:v>3340.1778307377303</c:v>
                </c:pt>
                <c:pt idx="188">
                  <c:v>3440.7831656598623</c:v>
                </c:pt>
                <c:pt idx="189">
                  <c:v>3544.4066606296583</c:v>
                </c:pt>
                <c:pt idx="190">
                  <c:v>3651.1388604485483</c:v>
                </c:pt>
                <c:pt idx="191">
                  <c:v>3761.0730262620045</c:v>
                </c:pt>
                <c:pt idx="192">
                  <c:v>3874.305217049865</c:v>
                </c:pt>
                <c:pt idx="193">
                  <c:v>3990.9343735613611</c:v>
                </c:pt>
                <c:pt idx="194">
                  <c:v>4111.0624047682022</c:v>
                </c:pt>
                <c:pt idx="195">
                  <c:v>4234.7942769112487</c:v>
                </c:pt>
                <c:pt idx="196">
                  <c:v>4362.2381052185865</c:v>
                </c:pt>
                <c:pt idx="197">
                  <c:v>4493.5052483751442</c:v>
                </c:pt>
                <c:pt idx="198">
                  <c:v>4628.7104058263985</c:v>
                </c:pt>
                <c:pt idx="199">
                  <c:v>4767.9717180011903</c:v>
                </c:pt>
                <c:pt idx="200">
                  <c:v>4911.410869541226</c:v>
                </c:pt>
                <c:pt idx="201">
                  <c:v>5059.153195627463</c:v>
                </c:pt>
                <c:pt idx="202">
                  <c:v>5211.3277914962873</c:v>
                </c:pt>
                <c:pt idx="203">
                  <c:v>5368.0676252411758</c:v>
                </c:pt>
                <c:pt idx="204">
                  <c:v>5529.5096539984115</c:v>
                </c:pt>
                <c:pt idx="205">
                  <c:v>5695.7949436183635</c:v>
                </c:pt>
                <c:pt idx="206">
                  <c:v>5867.0687919269149</c:v>
                </c:pt>
                <c:pt idx="207">
                  <c:v>6043.480855684722</c:v>
                </c:pt>
                <c:pt idx="208">
                  <c:v>6225.1852813552632</c:v>
                </c:pt>
                <c:pt idx="209">
                  <c:v>6412.3408397959211</c:v>
                </c:pt>
                <c:pt idx="210">
                  <c:v>6605.1110649897992</c:v>
                </c:pt>
                <c:pt idx="211">
                  <c:v>6803.6643969394936</c:v>
                </c:pt>
                <c:pt idx="212">
                  <c:v>7008.1743288476782</c:v>
                </c:pt>
                <c:pt idx="213">
                  <c:v>7218.8195587131086</c:v>
                </c:pt>
                <c:pt idx="214">
                  <c:v>7435.7841454745021</c:v>
                </c:pt>
                <c:pt idx="215">
                  <c:v>7659.2576698387375</c:v>
                </c:pt>
                <c:pt idx="216">
                  <c:v>7889.4353999339</c:v>
                </c:pt>
                <c:pt idx="217">
                  <c:v>8126.518461931917</c:v>
                </c:pt>
                <c:pt idx="218">
                  <c:v>8370.7140157898739</c:v>
                </c:pt>
                <c:pt idx="219">
                  <c:v>8622.2354362635706</c:v>
                </c:pt>
                <c:pt idx="220">
                  <c:v>8881.3024993514773</c:v>
                </c:pt>
                <c:pt idx="221">
                  <c:v>9148.1415743320213</c:v>
                </c:pt>
                <c:pt idx="222">
                  <c:v>9422.9858215619824</c:v>
                </c:pt>
                <c:pt idx="223">
                  <c:v>9706.075396208842</c:v>
                </c:pt>
                <c:pt idx="224">
                  <c:v>9997.6576580951078</c:v>
                </c:pt>
                <c:pt idx="225">
                  <c:v>10297.98738783796</c:v>
                </c:pt>
                <c:pt idx="226">
                  <c:v>10607.3270094731</c:v>
                </c:pt>
                <c:pt idx="227">
                  <c:v>10925.946819757293</c:v>
                </c:pt>
                <c:pt idx="228">
                  <c:v>11254.125224350013</c:v>
                </c:pt>
                <c:pt idx="229">
                  <c:v>11592.148981080514</c:v>
                </c:pt>
                <c:pt idx="230">
                  <c:v>11940.313450512929</c:v>
                </c:pt>
                <c:pt idx="231">
                  <c:v>12298.922854028317</c:v>
                </c:pt>
                <c:pt idx="232">
                  <c:v>12668.290539649166</c:v>
                </c:pt>
                <c:pt idx="233">
                  <c:v>13048.739255838642</c:v>
                </c:pt>
                <c:pt idx="234">
                  <c:v>13440.601433513801</c:v>
                </c:pt>
                <c:pt idx="235">
                  <c:v>13844.219476519214</c:v>
                </c:pt>
                <c:pt idx="236">
                  <c:v>14259.946060814791</c:v>
                </c:pt>
                <c:pt idx="237">
                  <c:v>14688.144442639235</c:v>
                </c:pt>
                <c:pt idx="238">
                  <c:v>15129.188775918412</c:v>
                </c:pt>
                <c:pt idx="239">
                  <c:v>15583.464439195965</c:v>
                </c:pt>
                <c:pt idx="240">
                  <c:v>16051.368372371844</c:v>
                </c:pt>
                <c:pt idx="241">
                  <c:v>16533.309423543</c:v>
                </c:pt>
                <c:pt idx="242">
                  <c:v>17029.70870624929</c:v>
                </c:pt>
                <c:pt idx="243">
                  <c:v>17540.999967436768</c:v>
                </c:pt>
                <c:pt idx="244">
                  <c:v>18067.62996645987</c:v>
                </c:pt>
                <c:pt idx="245">
                  <c:v>18610.058865453666</c:v>
                </c:pt>
                <c:pt idx="246">
                  <c:v>19168.760631417277</c:v>
                </c:pt>
                <c:pt idx="247">
                  <c:v>19744.223450359797</c:v>
                </c:pt>
                <c:pt idx="248">
                  <c:v>20336.950153870592</c:v>
                </c:pt>
                <c:pt idx="249">
                  <c:v>20947.45865848671</c:v>
                </c:pt>
                <c:pt idx="250">
                  <c:v>21576.282418241313</c:v>
                </c:pt>
                <c:pt idx="251">
                  <c:v>22223.970890788554</c:v>
                </c:pt>
                <c:pt idx="252">
                  <c:v>22891.090017512211</c:v>
                </c:pt>
                <c:pt idx="253">
                  <c:v>23578.222718037578</c:v>
                </c:pt>
                <c:pt idx="254">
                  <c:v>24285.969399578706</c:v>
                </c:pt>
                <c:pt idx="255">
                  <c:v>25014.948481566069</c:v>
                </c:pt>
                <c:pt idx="256">
                  <c:v>25765.796936013052</c:v>
                </c:pt>
                <c:pt idx="257">
                  <c:v>26539.170844093445</c:v>
                </c:pt>
                <c:pt idx="258">
                  <c:v>27335.74596941625</c:v>
                </c:pt>
                <c:pt idx="259">
                  <c:v>28156.218348498736</c:v>
                </c:pt>
                <c:pt idx="260">
                  <c:v>29001.304898953698</c:v>
                </c:pt>
                <c:pt idx="261">
                  <c:v>29871.744045922311</c:v>
                </c:pt>
                <c:pt idx="262">
                  <c:v>30768.296367299979</c:v>
                </c:pt>
                <c:pt idx="263">
                  <c:v>31691.745258318981</c:v>
                </c:pt>
                <c:pt idx="264">
                  <c:v>32642.897616068549</c:v>
                </c:pt>
                <c:pt idx="265">
                  <c:v>33622.584544550606</c:v>
                </c:pt>
                <c:pt idx="266">
                  <c:v>34631.662080887123</c:v>
                </c:pt>
                <c:pt idx="267">
                  <c:v>35671.011943313737</c:v>
                </c:pt>
                <c:pt idx="268">
                  <c:v>36741.542301613154</c:v>
                </c:pt>
                <c:pt idx="269">
                  <c:v>37844.18857066155</c:v>
                </c:pt>
                <c:pt idx="270">
                  <c:v>38979.914227781395</c:v>
                </c:pt>
                <c:pt idx="271">
                  <c:v>40149.711654614839</c:v>
                </c:pt>
                <c:pt idx="272">
                  <c:v>41354.603004253288</c:v>
                </c:pt>
                <c:pt idx="273">
                  <c:v>42595.641094380888</c:v>
                </c:pt>
                <c:pt idx="274">
                  <c:v>43873.910327212317</c:v>
                </c:pt>
                <c:pt idx="275">
                  <c:v>45190.527637028688</c:v>
                </c:pt>
                <c:pt idx="276">
                  <c:v>46546.643466139547</c:v>
                </c:pt>
                <c:pt idx="277">
                  <c:v>47943.442770123736</c:v>
                </c:pt>
                <c:pt idx="278">
                  <c:v>49382.14605322745</c:v>
                </c:pt>
                <c:pt idx="279">
                  <c:v>50864.010434824275</c:v>
                </c:pt>
                <c:pt idx="280">
                  <c:v>52390.330747869004</c:v>
                </c:pt>
                <c:pt idx="281">
                  <c:v>53962.440670305077</c:v>
                </c:pt>
                <c:pt idx="282">
                  <c:v>55581.713890414234</c:v>
                </c:pt>
                <c:pt idx="283">
                  <c:v>57249.565307126664</c:v>
                </c:pt>
                <c:pt idx="284">
                  <c:v>58967.452266340464</c:v>
                </c:pt>
                <c:pt idx="285">
                  <c:v>60736.875834330676</c:v>
                </c:pt>
                <c:pt idx="286">
                  <c:v>62559.382109360595</c:v>
                </c:pt>
                <c:pt idx="287">
                  <c:v>64436.563572641411</c:v>
                </c:pt>
                <c:pt idx="288">
                  <c:v>66370.060479820662</c:v>
                </c:pt>
                <c:pt idx="289">
                  <c:v>68361.562294215284</c:v>
                </c:pt>
                <c:pt idx="290">
                  <c:v>70412.809163041748</c:v>
                </c:pt>
                <c:pt idx="291">
                  <c:v>72525.593437932999</c:v>
                </c:pt>
                <c:pt idx="292">
                  <c:v>74701.761241070984</c:v>
                </c:pt>
                <c:pt idx="293">
                  <c:v>76943.214078303121</c:v>
                </c:pt>
                <c:pt idx="294">
                  <c:v>79251.910500652215</c:v>
                </c:pt>
                <c:pt idx="295">
                  <c:v>81629.86781567178</c:v>
                </c:pt>
                <c:pt idx="296">
                  <c:v>84079.163850141937</c:v>
                </c:pt>
                <c:pt idx="297">
                  <c:v>86601.938765646191</c:v>
                </c:pt>
                <c:pt idx="298">
                  <c:v>89200.396928615577</c:v>
                </c:pt>
                <c:pt idx="299">
                  <c:v>91876.808836474054</c:v>
                </c:pt>
                <c:pt idx="300">
                  <c:v>94633.513101568271</c:v>
                </c:pt>
              </c:numCache>
            </c:numRef>
          </c:xVal>
          <c:yVal>
            <c:numRef>
              <c:f>'Reactor sheet'!$J$15:$J$315</c:f>
              <c:numCache>
                <c:formatCode>General</c:formatCode>
                <c:ptCount val="301"/>
                <c:pt idx="0">
                  <c:v>6.9649722802597118</c:v>
                </c:pt>
                <c:pt idx="1">
                  <c:v>7.4285417470694073</c:v>
                </c:pt>
                <c:pt idx="2">
                  <c:v>7.8825803070933587</c:v>
                </c:pt>
                <c:pt idx="3">
                  <c:v>8.327974653809191</c:v>
                </c:pt>
                <c:pt idx="4">
                  <c:v>8.7655056341887594</c:v>
                </c:pt>
                <c:pt idx="5">
                  <c:v>9.1958647142970982</c:v>
                </c:pt>
                <c:pt idx="6">
                  <c:v>9.6196673254249401</c:v>
                </c:pt>
                <c:pt idx="7">
                  <c:v>10.037463778969911</c:v>
                </c:pt>
                <c:pt idx="8">
                  <c:v>10.44974826649355</c:v>
                </c:pt>
                <c:pt idx="9">
                  <c:v>10.85696633711197</c:v>
                </c:pt>
                <c:pt idx="10">
                  <c:v>11.259521153286459</c:v>
                </c:pt>
                <c:pt idx="11">
                  <c:v>11.657778758491142</c:v>
                </c:pt>
                <c:pt idx="12">
                  <c:v>12.052072539517692</c:v>
                </c:pt>
                <c:pt idx="13">
                  <c:v>12.44270702772195</c:v>
                </c:pt>
                <c:pt idx="14">
                  <c:v>12.829961154076464</c:v>
                </c:pt>
                <c:pt idx="15">
                  <c:v>13.214091050149248</c:v>
                </c:pt>
                <c:pt idx="16">
                  <c:v>13.595332469410714</c:v>
                </c:pt>
                <c:pt idx="17">
                  <c:v>13.973902889358296</c:v>
                </c:pt>
                <c:pt idx="18">
                  <c:v>14.350003343943175</c:v>
                </c:pt>
                <c:pt idx="19">
                  <c:v>14.723820027017553</c:v>
                </c:pt>
                <c:pt idx="20">
                  <c:v>15.09552570049283</c:v>
                </c:pt>
                <c:pt idx="21">
                  <c:v>15.465280935229252</c:v>
                </c:pt>
                <c:pt idx="22">
                  <c:v>15.833235208076953</c:v>
                </c:pt>
                <c:pt idx="23">
                  <c:v>16.199527874734585</c:v>
                </c:pt>
                <c:pt idx="24">
                  <c:v>16.564289035012838</c:v>
                </c:pt>
                <c:pt idx="25">
                  <c:v>16.927640304552302</c:v>
                </c:pt>
                <c:pt idx="26">
                  <c:v>17.289695504943335</c:v>
                </c:pt>
                <c:pt idx="27">
                  <c:v>17.65056128244705</c:v>
                </c:pt>
                <c:pt idx="28">
                  <c:v>18.010337664055669</c:v>
                </c:pt>
                <c:pt idx="29">
                  <c:v>18.369118558405052</c:v>
                </c:pt>
                <c:pt idx="30">
                  <c:v>18.726992208020018</c:v>
                </c:pt>
                <c:pt idx="31">
                  <c:v>19.084041598500697</c:v>
                </c:pt>
                <c:pt idx="32">
                  <c:v>19.440344829518033</c:v>
                </c:pt>
                <c:pt idx="33">
                  <c:v>19.79597545185646</c:v>
                </c:pt>
                <c:pt idx="34">
                  <c:v>20.1510027742038</c:v>
                </c:pt>
                <c:pt idx="35">
                  <c:v>20.505492142927398</c:v>
                </c:pt>
                <c:pt idx="36">
                  <c:v>20.85950519767945</c:v>
                </c:pt>
                <c:pt idx="37">
                  <c:v>21.213100105333073</c:v>
                </c:pt>
                <c:pt idx="38">
                  <c:v>21.566331774455708</c:v>
                </c:pt>
                <c:pt idx="39">
                  <c:v>21.919252052270803</c:v>
                </c:pt>
                <c:pt idx="40">
                  <c:v>22.271909905836591</c:v>
                </c:pt>
                <c:pt idx="41">
                  <c:v>22.6243515889775</c:v>
                </c:pt>
                <c:pt idx="42">
                  <c:v>22.976620796334757</c:v>
                </c:pt>
                <c:pt idx="43">
                  <c:v>23.328758805755076</c:v>
                </c:pt>
                <c:pt idx="44">
                  <c:v>23.680804610106751</c:v>
                </c:pt>
                <c:pt idx="45">
                  <c:v>24.032795039498591</c:v>
                </c:pt>
                <c:pt idx="46">
                  <c:v>24.384764874776867</c:v>
                </c:pt>
                <c:pt idx="47">
                  <c:v>24.736746953086943</c:v>
                </c:pt>
                <c:pt idx="48">
                  <c:v>25.088772266208046</c:v>
                </c:pt>
                <c:pt idx="49">
                  <c:v>25.440870052300305</c:v>
                </c:pt>
                <c:pt idx="50">
                  <c:v>25.793067881641658</c:v>
                </c:pt>
                <c:pt idx="51">
                  <c:v>26.145391736877677</c:v>
                </c:pt>
                <c:pt idx="52">
                  <c:v>26.497866088258508</c:v>
                </c:pt>
                <c:pt idx="53">
                  <c:v>26.850513964293842</c:v>
                </c:pt>
                <c:pt idx="54">
                  <c:v>27.203357018217972</c:v>
                </c:pt>
                <c:pt idx="55">
                  <c:v>27.556415590622326</c:v>
                </c:pt>
                <c:pt idx="56">
                  <c:v>27.909708768581741</c:v>
                </c:pt>
                <c:pt idx="57">
                  <c:v>28.263254441572851</c:v>
                </c:pt>
                <c:pt idx="58">
                  <c:v>28.617069354457911</c:v>
                </c:pt>
                <c:pt idx="59">
                  <c:v>28.971169157784782</c:v>
                </c:pt>
                <c:pt idx="60">
                  <c:v>29.325568455633533</c:v>
                </c:pt>
                <c:pt idx="61">
                  <c:v>29.680280851221699</c:v>
                </c:pt>
                <c:pt idx="62">
                  <c:v>30.035318990463789</c:v>
                </c:pt>
                <c:pt idx="63">
                  <c:v>30.390694603665562</c:v>
                </c:pt>
                <c:pt idx="64">
                  <c:v>30.746418545520076</c:v>
                </c:pt>
                <c:pt idx="65">
                  <c:v>31.102500833560264</c:v>
                </c:pt>
                <c:pt idx="66">
                  <c:v>31.458950685211583</c:v>
                </c:pt>
                <c:pt idx="67">
                  <c:v>31.8157765535782</c:v>
                </c:pt>
                <c:pt idx="68">
                  <c:v>32.172986162086964</c:v>
                </c:pt>
                <c:pt idx="69">
                  <c:v>32.530586538105055</c:v>
                </c:pt>
                <c:pt idx="70">
                  <c:v>32.888584045639526</c:v>
                </c:pt>
                <c:pt idx="71">
                  <c:v>33.246984417220069</c:v>
                </c:pt>
                <c:pt idx="72">
                  <c:v>33.60579278505994</c:v>
                </c:pt>
                <c:pt idx="73">
                  <c:v>33.965013711584177</c:v>
                </c:pt>
                <c:pt idx="74">
                  <c:v>34.324651219408992</c:v>
                </c:pt>
                <c:pt idx="75">
                  <c:v>34.684708820851313</c:v>
                </c:pt>
                <c:pt idx="76">
                  <c:v>35.045189547043073</c:v>
                </c:pt>
                <c:pt idx="77">
                  <c:v>35.406095976720735</c:v>
                </c:pt>
                <c:pt idx="78">
                  <c:v>35.767430264756833</c:v>
                </c:pt>
                <c:pt idx="79">
                  <c:v>36.129194170496902</c:v>
                </c:pt>
                <c:pt idx="80">
                  <c:v>36.491389085962005</c:v>
                </c:pt>
                <c:pt idx="81">
                  <c:v>36.854016063974207</c:v>
                </c:pt>
                <c:pt idx="82">
                  <c:v>37.217075846259711</c:v>
                </c:pt>
                <c:pt idx="83">
                  <c:v>37.580568891581919</c:v>
                </c:pt>
                <c:pt idx="84">
                  <c:v>37.944495403954427</c:v>
                </c:pt>
                <c:pt idx="85">
                  <c:v>38.308855360981994</c:v>
                </c:pt>
                <c:pt idx="86">
                  <c:v>38.673648542375524</c:v>
                </c:pt>
                <c:pt idx="87">
                  <c:v>39.038874558685485</c:v>
                </c:pt>
                <c:pt idx="88">
                  <c:v>39.404532880296529</c:v>
                </c:pt>
                <c:pt idx="89">
                  <c:v>39.77062286672458</c:v>
                </c:pt>
                <c:pt idx="90">
                  <c:v>40.13714379625646</c:v>
                </c:pt>
                <c:pt idx="91">
                  <c:v>40.504094895970759</c:v>
                </c:pt>
                <c:pt idx="92">
                  <c:v>40.871475372177628</c:v>
                </c:pt>
                <c:pt idx="93">
                  <c:v>41.239284441314098</c:v>
                </c:pt>
                <c:pt idx="94">
                  <c:v>41.607521361330676</c:v>
                </c:pt>
                <c:pt idx="95">
                  <c:v>41.976185463604082</c:v>
                </c:pt>
                <c:pt idx="96">
                  <c:v>42.345276185410249</c:v>
                </c:pt>
                <c:pt idx="97">
                  <c:v>42.714793102991102</c:v>
                </c:pt>
                <c:pt idx="98">
                  <c:v>43.084735965247972</c:v>
                </c:pt>
                <c:pt idx="99">
                  <c:v>43.455104728094007</c:v>
                </c:pt>
                <c:pt idx="100">
                  <c:v>43.825899589497538</c:v>
                </c:pt>
                <c:pt idx="101">
                  <c:v>44.197121025247966</c:v>
                </c:pt>
                <c:pt idx="102">
                  <c:v>44.568769825475421</c:v>
                </c:pt>
                <c:pt idx="103">
                  <c:v>44.940847131955195</c:v>
                </c:pt>
                <c:pt idx="104">
                  <c:v>45.313354476227907</c:v>
                </c:pt>
                <c:pt idx="105">
                  <c:v>45.68629381856605</c:v>
                </c:pt>
                <c:pt idx="106">
                  <c:v>46.059667587817735</c:v>
                </c:pt>
                <c:pt idx="107">
                  <c:v>46.433478722158334</c:v>
                </c:pt>
                <c:pt idx="108">
                  <c:v>46.807730710780923</c:v>
                </c:pt>
                <c:pt idx="109">
                  <c:v>47.182427636556447</c:v>
                </c:pt>
                <c:pt idx="110">
                  <c:v>47.557574219694921</c:v>
                </c:pt>
                <c:pt idx="111">
                  <c:v>47.933175862439093</c:v>
                </c:pt>
                <c:pt idx="112">
                  <c:v>48.30923869482244</c:v>
                </c:pt>
                <c:pt idx="113">
                  <c:v>48.685769621523718</c:v>
                </c:pt>
                <c:pt idx="114">
                  <c:v>49.062776369850781</c:v>
                </c:pt>
                <c:pt idx="115">
                  <c:v>49.440267538886793</c:v>
                </c:pt>
                <c:pt idx="116">
                  <c:v>49.818252649832729</c:v>
                </c:pt>
                <c:pt idx="117">
                  <c:v>50.196742197580377</c:v>
                </c:pt>
                <c:pt idx="118">
                  <c:v>50.575747703551016</c:v>
                </c:pt>
                <c:pt idx="119">
                  <c:v>50.955281769835388</c:v>
                </c:pt>
                <c:pt idx="120">
                  <c:v>51.335358134671473</c:v>
                </c:pt>
                <c:pt idx="121">
                  <c:v>51.715991729297265</c:v>
                </c:pt>
                <c:pt idx="122">
                  <c:v>52.09719873621647</c:v>
                </c:pt>
                <c:pt idx="123">
                  <c:v>52.478996648915931</c:v>
                </c:pt>
                <c:pt idx="124">
                  <c:v>52.861404333074233</c:v>
                </c:pt>
                <c:pt idx="125">
                  <c:v>53.244442089301742</c:v>
                </c:pt>
                <c:pt idx="126">
                  <c:v>53.62813171745303</c:v>
                </c:pt>
                <c:pt idx="127">
                  <c:v>54.012496582553204</c:v>
                </c:pt>
                <c:pt idx="128">
                  <c:v>54.397561682380328</c:v>
                </c:pt>
                <c:pt idx="129">
                  <c:v>54.783353716746376</c:v>
                </c:pt>
                <c:pt idx="130">
                  <c:v>55.169901158519679</c:v>
                </c:pt>
                <c:pt idx="131">
                  <c:v>55.557234326431718</c:v>
                </c:pt>
                <c:pt idx="132">
                  <c:v>55.945385459711154</c:v>
                </c:pt>
                <c:pt idx="133">
                  <c:v>56.334388794587554</c:v>
                </c:pt>
                <c:pt idx="134">
                  <c:v>56.72428064270661</c:v>
                </c:pt>
                <c:pt idx="135">
                  <c:v>57.115099471497608</c:v>
                </c:pt>
                <c:pt idx="136">
                  <c:v>57.506885986532382</c:v>
                </c:pt>
                <c:pt idx="137">
                  <c:v>57.899683215913072</c:v>
                </c:pt>
                <c:pt idx="138">
                  <c:v>58.293536596723413</c:v>
                </c:pt>
                <c:pt idx="139">
                  <c:v>58.688494063575021</c:v>
                </c:pt>
                <c:pt idx="140">
                  <c:v>59.084606139276275</c:v>
                </c:pt>
                <c:pt idx="141">
                  <c:v>59.481926027646416</c:v>
                </c:pt>
                <c:pt idx="142">
                  <c:v>59.880509708491815</c:v>
                </c:pt>
                <c:pt idx="143">
                  <c:v>60.280416034754346</c:v>
                </c:pt>
                <c:pt idx="144">
                  <c:v>60.681706831833701</c:v>
                </c:pt>
                <c:pt idx="145">
                  <c:v>61.084446999075972</c:v>
                </c:pt>
                <c:pt idx="146">
                  <c:v>61.488704613409766</c:v>
                </c:pt>
                <c:pt idx="147">
                  <c:v>61.894551035098317</c:v>
                </c:pt>
                <c:pt idx="148">
                  <c:v>62.302061015561442</c:v>
                </c:pt>
                <c:pt idx="149">
                  <c:v>62.7113128072045</c:v>
                </c:pt>
                <c:pt idx="150">
                  <c:v>63.122388275172312</c:v>
                </c:pt>
                <c:pt idx="151">
                  <c:v>63.535373010924708</c:v>
                </c:pt>
                <c:pt idx="152">
                  <c:v>63.950356447505875</c:v>
                </c:pt>
                <c:pt idx="153">
                  <c:v>64.367431976352563</c:v>
                </c:pt>
                <c:pt idx="154">
                  <c:v>64.786697065455684</c:v>
                </c:pt>
                <c:pt idx="155">
                  <c:v>65.208253378656025</c:v>
                </c:pt>
                <c:pt idx="156">
                  <c:v>65.632206895816907</c:v>
                </c:pt>
                <c:pt idx="157">
                  <c:v>66.058668033575358</c:v>
                </c:pt>
                <c:pt idx="158">
                  <c:v>66.487751766327193</c:v>
                </c:pt>
                <c:pt idx="159">
                  <c:v>66.919577747051463</c:v>
                </c:pt>
                <c:pt idx="160">
                  <c:v>67.354270427524568</c:v>
                </c:pt>
                <c:pt idx="161">
                  <c:v>67.791959177414768</c:v>
                </c:pt>
                <c:pt idx="162">
                  <c:v>68.23277840168295</c:v>
                </c:pt>
                <c:pt idx="163">
                  <c:v>68.676867655645893</c:v>
                </c:pt>
                <c:pt idx="164">
                  <c:v>69.124371756983052</c:v>
                </c:pt>
                <c:pt idx="165">
                  <c:v>69.575440893888072</c:v>
                </c:pt>
                <c:pt idx="166">
                  <c:v>70.030230728481015</c:v>
                </c:pt>
                <c:pt idx="167">
                  <c:v>70.488902494507613</c:v>
                </c:pt>
                <c:pt idx="168">
                  <c:v>70.951623088257364</c:v>
                </c:pt>
                <c:pt idx="169">
                  <c:v>71.418565151534338</c:v>
                </c:pt>
                <c:pt idx="170">
                  <c:v>71.889907145412906</c:v>
                </c:pt>
                <c:pt idx="171">
                  <c:v>72.365833413406477</c:v>
                </c:pt>
                <c:pt idx="172">
                  <c:v>72.846534232572239</c:v>
                </c:pt>
                <c:pt idx="173">
                  <c:v>73.332205850969032</c:v>
                </c:pt>
                <c:pt idx="174">
                  <c:v>73.823050509781297</c:v>
                </c:pt>
                <c:pt idx="175">
                  <c:v>74.319276448321148</c:v>
                </c:pt>
                <c:pt idx="176">
                  <c:v>74.821097890024433</c:v>
                </c:pt>
                <c:pt idx="177">
                  <c:v>75.328735007468765</c:v>
                </c:pt>
                <c:pt idx="178">
                  <c:v>75.842413864363152</c:v>
                </c:pt>
                <c:pt idx="179">
                  <c:v>76.36236633239433</c:v>
                </c:pt>
                <c:pt idx="180">
                  <c:v>76.888829980766502</c:v>
                </c:pt>
                <c:pt idx="181">
                  <c:v>77.422047936243047</c:v>
                </c:pt>
                <c:pt idx="182">
                  <c:v>77.962268711494147</c:v>
                </c:pt>
                <c:pt idx="183">
                  <c:v>78.509745999577405</c:v>
                </c:pt>
                <c:pt idx="184">
                  <c:v>79.064738432433586</c:v>
                </c:pt>
                <c:pt idx="185">
                  <c:v>79.627509301369642</c:v>
                </c:pt>
                <c:pt idx="186">
                  <c:v>80.198326237631647</c:v>
                </c:pt>
                <c:pt idx="187">
                  <c:v>80.777460851343108</c:v>
                </c:pt>
                <c:pt idx="188">
                  <c:v>81.365188327303784</c:v>
                </c:pt>
                <c:pt idx="189">
                  <c:v>81.961786976412952</c:v>
                </c:pt>
                <c:pt idx="190">
                  <c:v>82.567537741800422</c:v>
                </c:pt>
                <c:pt idx="191">
                  <c:v>83.182723659120171</c:v>
                </c:pt>
                <c:pt idx="192">
                  <c:v>83.807629270884647</c:v>
                </c:pt>
                <c:pt idx="193">
                  <c:v>84.442539995190472</c:v>
                </c:pt>
                <c:pt idx="194">
                  <c:v>85.087741449706584</c:v>
                </c:pt>
                <c:pt idx="195">
                  <c:v>85.74351873235689</c:v>
                </c:pt>
                <c:pt idx="196">
                  <c:v>86.410155660726829</c:v>
                </c:pt>
                <c:pt idx="197">
                  <c:v>87.087933972845661</c:v>
                </c:pt>
                <c:pt idx="198">
                  <c:v>87.777132492635801</c:v>
                </c:pt>
                <c:pt idx="199">
                  <c:v>88.478026263962022</c:v>
                </c:pt>
                <c:pt idx="200">
                  <c:v>89.190885657845186</c:v>
                </c:pt>
                <c:pt idx="201">
                  <c:v>89.915975458009811</c:v>
                </c:pt>
                <c:pt idx="202">
                  <c:v>90.653553930496955</c:v>
                </c:pt>
                <c:pt idx="203">
                  <c:v>91.403871883575974</c:v>
                </c:pt>
                <c:pt idx="204">
                  <c:v>92.167171724613524</c:v>
                </c:pt>
                <c:pt idx="205">
                  <c:v>92.943686520889429</c:v>
                </c:pt>
                <c:pt idx="206">
                  <c:v>93.733639071571858</c:v>
                </c:pt>
                <c:pt idx="207">
                  <c:v>94.537240998165032</c:v>
                </c:pt>
                <c:pt idx="208">
                  <c:v>95.354691860711839</c:v>
                </c:pt>
                <c:pt idx="209">
                  <c:v>96.186178306864477</c:v>
                </c:pt>
                <c:pt idx="210">
                  <c:v>97.031873260625602</c:v>
                </c:pt>
                <c:pt idx="211">
                  <c:v>97.891935157112812</c:v>
                </c:pt>
                <c:pt idx="212">
                  <c:v>98.766507229117039</c:v>
                </c:pt>
                <c:pt idx="213">
                  <c:v>99.655716850522225</c:v>
                </c:pt>
                <c:pt idx="214">
                  <c:v>100.55967494084567</c:v>
                </c:pt>
                <c:pt idx="215">
                  <c:v>101.47847543426619</c:v>
                </c:pt>
                <c:pt idx="216">
                  <c:v>102.41219481555478</c:v>
                </c:pt>
                <c:pt idx="217">
                  <c:v>103.36089172433675</c:v>
                </c:pt>
                <c:pt idx="218">
                  <c:v>104.32460662812369</c:v>
                </c:pt>
                <c:pt idx="219">
                  <c:v>105.30336156358752</c:v>
                </c:pt>
                <c:pt idx="220">
                  <c:v>106.29715994463511</c:v>
                </c:pt>
                <c:pt idx="221">
                  <c:v>107.30598643500754</c:v>
                </c:pt>
                <c:pt idx="222">
                  <c:v>108.3298068823953</c:v>
                </c:pt>
                <c:pt idx="223">
                  <c:v>109.36856831044996</c:v>
                </c:pt>
                <c:pt idx="224">
                  <c:v>110.42219896459611</c:v>
                </c:pt>
                <c:pt idx="225">
                  <c:v>111.49060840721488</c:v>
                </c:pt>
                <c:pt idx="226">
                  <c:v>112.57368765758288</c:v>
                </c:pt>
                <c:pt idx="227">
                  <c:v>113.67130937190537</c:v>
                </c:pt>
                <c:pt idx="228">
                  <c:v>114.78332805887011</c:v>
                </c:pt>
                <c:pt idx="229">
                  <c:v>115.90958032635471</c:v>
                </c:pt>
                <c:pt idx="230">
                  <c:v>117.0498851552267</c:v>
                </c:pt>
                <c:pt idx="231">
                  <c:v>118.20404419656086</c:v>
                </c:pt>
                <c:pt idx="232">
                  <c:v>119.37184208903876</c:v>
                </c:pt>
                <c:pt idx="233">
                  <c:v>120.55304679376702</c:v>
                </c:pt>
                <c:pt idx="234">
                  <c:v>121.7474099442294</c:v>
                </c:pt>
                <c:pt idx="235">
                  <c:v>122.95466720955231</c:v>
                </c:pt>
                <c:pt idx="236">
                  <c:v>124.17453866969265</c:v>
                </c:pt>
                <c:pt idx="237">
                  <c:v>125.40672920153663</c:v>
                </c:pt>
                <c:pt idx="238">
                  <c:v>126.65092887521469</c:v>
                </c:pt>
                <c:pt idx="239">
                  <c:v>127.90681336018397</c:v>
                </c:pt>
                <c:pt idx="240">
                  <c:v>129.1740443408016</c:v>
                </c:pt>
                <c:pt idx="241">
                  <c:v>130.45226994120981</c:v>
                </c:pt>
                <c:pt idx="242">
                  <c:v>131.74112515938231</c:v>
                </c:pt>
                <c:pt idx="243">
                  <c:v>133.04023231014654</c:v>
                </c:pt>
                <c:pt idx="244">
                  <c:v>134.34920147690906</c:v>
                </c:pt>
                <c:pt idx="245">
                  <c:v>135.66763097168234</c:v>
                </c:pt>
                <c:pt idx="246">
                  <c:v>136.99510780285252</c:v>
                </c:pt>
                <c:pt idx="247">
                  <c:v>138.33120814995209</c:v>
                </c:pt>
                <c:pt idx="248">
                  <c:v>139.67549784452157</c:v>
                </c:pt>
                <c:pt idx="249">
                  <c:v>141.02753285596825</c:v>
                </c:pt>
                <c:pt idx="250">
                  <c:v>142.38685978117161</c:v>
                </c:pt>
                <c:pt idx="251">
                  <c:v>143.75301633644727</c:v>
                </c:pt>
                <c:pt idx="252">
                  <c:v>145.12553185037291</c:v>
                </c:pt>
                <c:pt idx="253">
                  <c:v>146.50392775590393</c:v>
                </c:pt>
                <c:pt idx="254">
                  <c:v>147.88771808016384</c:v>
                </c:pt>
                <c:pt idx="255">
                  <c:v>149.27640993028754</c:v>
                </c:pt>
                <c:pt idx="256">
                  <c:v>150.66950397372193</c:v>
                </c:pt>
                <c:pt idx="257">
                  <c:v>152.0664949114456</c:v>
                </c:pt>
                <c:pt idx="258">
                  <c:v>153.46687194265638</c:v>
                </c:pt>
                <c:pt idx="259">
                  <c:v>154.87011921958708</c:v>
                </c:pt>
                <c:pt idx="260">
                  <c:v>156.27571629124279</c:v>
                </c:pt>
                <c:pt idx="261">
                  <c:v>157.6831385350047</c:v>
                </c:pt>
                <c:pt idx="262">
                  <c:v>159.09185757520987</c:v>
                </c:pt>
                <c:pt idx="263">
                  <c:v>160.50134168799306</c:v>
                </c:pt>
                <c:pt idx="264">
                  <c:v>161.91105619185933</c:v>
                </c:pt>
                <c:pt idx="265">
                  <c:v>163.32046382364433</c:v>
                </c:pt>
                <c:pt idx="266">
                  <c:v>164.72902509970871</c:v>
                </c:pt>
                <c:pt idx="267">
                  <c:v>166.13619866240319</c:v>
                </c:pt>
                <c:pt idx="268">
                  <c:v>167.54144161202814</c:v>
                </c:pt>
                <c:pt idx="269">
                  <c:v>168.94420982469518</c:v>
                </c:pt>
                <c:pt idx="270">
                  <c:v>170.34395825667764</c:v>
                </c:pt>
                <c:pt idx="271">
                  <c:v>171.7401412360089</c:v>
                </c:pt>
                <c:pt idx="272">
                  <c:v>173.1322127422535</c:v>
                </c:pt>
                <c:pt idx="273">
                  <c:v>174.51962667553371</c:v>
                </c:pt>
                <c:pt idx="274">
                  <c:v>175.90183711604328</c:v>
                </c:pt>
                <c:pt idx="275">
                  <c:v>177.27829857542159</c:v>
                </c:pt>
                <c:pt idx="276">
                  <c:v>178.64846624149195</c:v>
                </c:pt>
                <c:pt idx="277">
                  <c:v>180.01179621799116</c:v>
                </c:pt>
                <c:pt idx="278">
                  <c:v>181.36774576102962</c:v>
                </c:pt>
                <c:pt idx="279">
                  <c:v>182.71577351412506</c:v>
                </c:pt>
                <c:pt idx="280">
                  <c:v>184.05533974374725</c:v>
                </c:pt>
                <c:pt idx="281">
                  <c:v>185.38590657739519</c:v>
                </c:pt>
                <c:pt idx="282">
                  <c:v>186.70693824630391</c:v>
                </c:pt>
                <c:pt idx="283">
                  <c:v>188.01790133494382</c:v>
                </c:pt>
                <c:pt idx="284">
                  <c:v>189.31826503953164</c:v>
                </c:pt>
                <c:pt idx="285">
                  <c:v>190.60750143781931</c:v>
                </c:pt>
                <c:pt idx="286">
                  <c:v>191.88508577246424</c:v>
                </c:pt>
                <c:pt idx="287">
                  <c:v>193.15049675031185</c:v>
                </c:pt>
                <c:pt idx="288">
                  <c:v>194.40321685993831</c:v>
                </c:pt>
                <c:pt idx="289">
                  <c:v>195.64273270980803</c:v>
                </c:pt>
                <c:pt idx="290">
                  <c:v>196.8685353893955</c:v>
                </c:pt>
                <c:pt idx="291">
                  <c:v>198.08012085560415</c:v>
                </c:pt>
                <c:pt idx="292">
                  <c:v>199.27699034678494</c:v>
                </c:pt>
                <c:pt idx="293">
                  <c:v>200.45865082661356</c:v>
                </c:pt>
                <c:pt idx="294">
                  <c:v>201.62461546002527</c:v>
                </c:pt>
                <c:pt idx="295">
                  <c:v>202.77440412333041</c:v>
                </c:pt>
                <c:pt idx="296">
                  <c:v>203.90754395053872</c:v>
                </c:pt>
                <c:pt idx="297">
                  <c:v>205.02356991780485</c:v>
                </c:pt>
                <c:pt idx="298">
                  <c:v>206.12202546776967</c:v>
                </c:pt>
                <c:pt idx="299">
                  <c:v>207.20246317540938</c:v>
                </c:pt>
                <c:pt idx="300">
                  <c:v>208.26444545681298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9-AD47-953A-68F9821D3178}"/>
            </c:ext>
          </c:extLst>
        </c:ser>
        <c:ser>
          <c:idx val="0"/>
          <c:order val="1"/>
          <c:tx>
            <c:v>CO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'Reactor sheet'!$D$15:$D$315</c:f>
              <c:numCache>
                <c:formatCode>General</c:formatCode>
                <c:ptCount val="301"/>
                <c:pt idx="0">
                  <c:v>0</c:v>
                </c:pt>
                <c:pt idx="1">
                  <c:v>0.4</c:v>
                </c:pt>
                <c:pt idx="2">
                  <c:v>0.81200000000000006</c:v>
                </c:pt>
                <c:pt idx="3">
                  <c:v>1.2363600000000001</c:v>
                </c:pt>
                <c:pt idx="4">
                  <c:v>1.6734508000000001</c:v>
                </c:pt>
                <c:pt idx="5">
                  <c:v>2.1236543240000003</c:v>
                </c:pt>
                <c:pt idx="6">
                  <c:v>2.5873639537200006</c:v>
                </c:pt>
                <c:pt idx="7">
                  <c:v>3.0649848723316007</c:v>
                </c:pt>
                <c:pt idx="8">
                  <c:v>3.556934418501549</c:v>
                </c:pt>
                <c:pt idx="9">
                  <c:v>4.0636424510565954</c:v>
                </c:pt>
                <c:pt idx="10">
                  <c:v>4.5855517245882931</c:v>
                </c:pt>
                <c:pt idx="11">
                  <c:v>5.1231182763259424</c:v>
                </c:pt>
                <c:pt idx="12">
                  <c:v>5.6768118246157204</c:v>
                </c:pt>
                <c:pt idx="13">
                  <c:v>6.2471161793541921</c:v>
                </c:pt>
                <c:pt idx="14">
                  <c:v>6.8345296647348182</c:v>
                </c:pt>
                <c:pt idx="15">
                  <c:v>7.4395655546768626</c:v>
                </c:pt>
                <c:pt idx="16">
                  <c:v>8.0627525213171687</c:v>
                </c:pt>
                <c:pt idx="17">
                  <c:v>8.7046350969566841</c:v>
                </c:pt>
                <c:pt idx="18">
                  <c:v>9.3657741498653841</c:v>
                </c:pt>
                <c:pt idx="19">
                  <c:v>10.046747374361345</c:v>
                </c:pt>
                <c:pt idx="20">
                  <c:v>10.748149795592186</c:v>
                </c:pt>
                <c:pt idx="21">
                  <c:v>11.470594289459951</c:v>
                </c:pt>
                <c:pt idx="22">
                  <c:v>12.214712118143749</c:v>
                </c:pt>
                <c:pt idx="23">
                  <c:v>12.981153481688063</c:v>
                </c:pt>
                <c:pt idx="24">
                  <c:v>13.770588086138705</c:v>
                </c:pt>
                <c:pt idx="25">
                  <c:v>14.583705728722867</c:v>
                </c:pt>
                <c:pt idx="26">
                  <c:v>15.421216900584554</c:v>
                </c:pt>
                <c:pt idx="27">
                  <c:v>16.283853407602091</c:v>
                </c:pt>
                <c:pt idx="28">
                  <c:v>17.172369009830156</c:v>
                </c:pt>
                <c:pt idx="29">
                  <c:v>18.087540080125063</c:v>
                </c:pt>
                <c:pt idx="30">
                  <c:v>19.030166282528814</c:v>
                </c:pt>
                <c:pt idx="31">
                  <c:v>20.00107127100468</c:v>
                </c:pt>
                <c:pt idx="32">
                  <c:v>21.001103409134821</c:v>
                </c:pt>
                <c:pt idx="33">
                  <c:v>22.031136511408867</c:v>
                </c:pt>
                <c:pt idx="34">
                  <c:v>23.092070606751133</c:v>
                </c:pt>
                <c:pt idx="35">
                  <c:v>24.184832724953665</c:v>
                </c:pt>
                <c:pt idx="36">
                  <c:v>25.310377706702276</c:v>
                </c:pt>
                <c:pt idx="37">
                  <c:v>26.469689037903343</c:v>
                </c:pt>
                <c:pt idx="38">
                  <c:v>27.663779709040444</c:v>
                </c:pt>
                <c:pt idx="39">
                  <c:v>28.893693100311658</c:v>
                </c:pt>
                <c:pt idx="40">
                  <c:v>30.16050389332101</c:v>
                </c:pt>
                <c:pt idx="41">
                  <c:v>31.465319010120641</c:v>
                </c:pt>
                <c:pt idx="42">
                  <c:v>32.809278580424262</c:v>
                </c:pt>
                <c:pt idx="43">
                  <c:v>34.193556937836988</c:v>
                </c:pt>
                <c:pt idx="44">
                  <c:v>35.619363645972101</c:v>
                </c:pt>
                <c:pt idx="45">
                  <c:v>37.087944555351264</c:v>
                </c:pt>
                <c:pt idx="46">
                  <c:v>38.600582892011801</c:v>
                </c:pt>
                <c:pt idx="47">
                  <c:v>40.158600378772157</c:v>
                </c:pt>
                <c:pt idx="48">
                  <c:v>41.763358390135323</c:v>
                </c:pt>
                <c:pt idx="49">
                  <c:v>43.416259141839383</c:v>
                </c:pt>
                <c:pt idx="50">
                  <c:v>45.118746916094565</c:v>
                </c:pt>
                <c:pt idx="51">
                  <c:v>46.872309323577404</c:v>
                </c:pt>
                <c:pt idx="52">
                  <c:v>48.678478603284731</c:v>
                </c:pt>
                <c:pt idx="53">
                  <c:v>50.538832961383271</c:v>
                </c:pt>
                <c:pt idx="54">
                  <c:v>52.454997950224772</c:v>
                </c:pt>
                <c:pt idx="55">
                  <c:v>54.428647888731518</c:v>
                </c:pt>
                <c:pt idx="56">
                  <c:v>56.461507325393463</c:v>
                </c:pt>
                <c:pt idx="57">
                  <c:v>58.555352545155266</c:v>
                </c:pt>
                <c:pt idx="58">
                  <c:v>60.712013121509926</c:v>
                </c:pt>
                <c:pt idx="59">
                  <c:v>62.933373515155225</c:v>
                </c:pt>
                <c:pt idx="60">
                  <c:v>65.221374720609887</c:v>
                </c:pt>
                <c:pt idx="61">
                  <c:v>67.578015962228179</c:v>
                </c:pt>
                <c:pt idx="62">
                  <c:v>70.005356441095032</c:v>
                </c:pt>
                <c:pt idx="63">
                  <c:v>72.505517134327889</c:v>
                </c:pt>
                <c:pt idx="64">
                  <c:v>75.080682648357723</c:v>
                </c:pt>
                <c:pt idx="65">
                  <c:v>77.733103127808448</c:v>
                </c:pt>
                <c:pt idx="66">
                  <c:v>80.465096221642696</c:v>
                </c:pt>
                <c:pt idx="67">
                  <c:v>83.279049108291986</c:v>
                </c:pt>
                <c:pt idx="68">
                  <c:v>86.177420581540744</c:v>
                </c:pt>
                <c:pt idx="69">
                  <c:v>89.162743198986973</c:v>
                </c:pt>
                <c:pt idx="70">
                  <c:v>92.237625494956589</c:v>
                </c:pt>
                <c:pt idx="71">
                  <c:v>95.404754259805287</c:v>
                </c:pt>
                <c:pt idx="72">
                  <c:v>98.666896887599449</c:v>
                </c:pt>
                <c:pt idx="73">
                  <c:v>102.02690379422744</c:v>
                </c:pt>
                <c:pt idx="74">
                  <c:v>105.48771090805425</c:v>
                </c:pt>
                <c:pt idx="75">
                  <c:v>109.05234223529588</c:v>
                </c:pt>
                <c:pt idx="76">
                  <c:v>112.72391250235476</c:v>
                </c:pt>
                <c:pt idx="77">
                  <c:v>116.50562987742541</c:v>
                </c:pt>
                <c:pt idx="78">
                  <c:v>120.40079877374816</c:v>
                </c:pt>
                <c:pt idx="79">
                  <c:v>124.41282273696061</c:v>
                </c:pt>
                <c:pt idx="80">
                  <c:v>128.54520741906941</c:v>
                </c:pt>
                <c:pt idx="81">
                  <c:v>132.80156364164151</c:v>
                </c:pt>
                <c:pt idx="82">
                  <c:v>137.18561055089074</c:v>
                </c:pt>
                <c:pt idx="83">
                  <c:v>141.70117886741747</c:v>
                </c:pt>
                <c:pt idx="84">
                  <c:v>146.35221423344001</c:v>
                </c:pt>
                <c:pt idx="85">
                  <c:v>151.14278066044321</c:v>
                </c:pt>
                <c:pt idx="86">
                  <c:v>156.07706408025652</c:v>
                </c:pt>
                <c:pt idx="87">
                  <c:v>161.15937600266423</c:v>
                </c:pt>
                <c:pt idx="88">
                  <c:v>166.39415728274417</c:v>
                </c:pt>
                <c:pt idx="89">
                  <c:v>171.7859820012265</c:v>
                </c:pt>
                <c:pt idx="90">
                  <c:v>177.33956146126329</c:v>
                </c:pt>
                <c:pt idx="91">
                  <c:v>183.05974830510118</c:v>
                </c:pt>
                <c:pt idx="92">
                  <c:v>188.95154075425421</c:v>
                </c:pt>
                <c:pt idx="93">
                  <c:v>195.02008697688183</c:v>
                </c:pt>
                <c:pt idx="94">
                  <c:v>201.2706895861883</c:v>
                </c:pt>
                <c:pt idx="95">
                  <c:v>207.70881027377396</c:v>
                </c:pt>
                <c:pt idx="96">
                  <c:v>214.34007458198718</c:v>
                </c:pt>
                <c:pt idx="97">
                  <c:v>221.1702768194468</c:v>
                </c:pt>
                <c:pt idx="98">
                  <c:v>228.20538512403022</c:v>
                </c:pt>
                <c:pt idx="99">
                  <c:v>235.45154667775114</c:v>
                </c:pt>
                <c:pt idx="100">
                  <c:v>242.91509307808369</c:v>
                </c:pt>
                <c:pt idx="101">
                  <c:v>250.60254587042621</c:v>
                </c:pt>
                <c:pt idx="102">
                  <c:v>258.52062224653901</c:v>
                </c:pt>
                <c:pt idx="103">
                  <c:v>266.6762409139352</c:v>
                </c:pt>
                <c:pt idx="104">
                  <c:v>275.07652814135326</c:v>
                </c:pt>
                <c:pt idx="105">
                  <c:v>283.72882398559386</c:v>
                </c:pt>
                <c:pt idx="106">
                  <c:v>292.64068870516166</c:v>
                </c:pt>
                <c:pt idx="107">
                  <c:v>301.81990936631649</c:v>
                </c:pt>
                <c:pt idx="108">
                  <c:v>311.274506647306</c:v>
                </c:pt>
                <c:pt idx="109">
                  <c:v>321.01274184672519</c:v>
                </c:pt>
                <c:pt idx="110">
                  <c:v>331.04312410212697</c:v>
                </c:pt>
                <c:pt idx="111">
                  <c:v>341.37441782519079</c:v>
                </c:pt>
                <c:pt idx="112">
                  <c:v>352.01565035994651</c:v>
                </c:pt>
                <c:pt idx="113">
                  <c:v>362.97611987074492</c:v>
                </c:pt>
                <c:pt idx="114">
                  <c:v>374.26540346686727</c:v>
                </c:pt>
                <c:pt idx="115">
                  <c:v>385.8933655708733</c:v>
                </c:pt>
                <c:pt idx="116">
                  <c:v>397.87016653799952</c:v>
                </c:pt>
                <c:pt idx="117">
                  <c:v>410.20627153413949</c:v>
                </c:pt>
                <c:pt idx="118">
                  <c:v>422.91245968016369</c:v>
                </c:pt>
                <c:pt idx="119">
                  <c:v>435.9998334705686</c:v>
                </c:pt>
                <c:pt idx="120">
                  <c:v>449.47982847468569</c:v>
                </c:pt>
                <c:pt idx="121">
                  <c:v>463.36422332892624</c:v>
                </c:pt>
                <c:pt idx="122">
                  <c:v>477.66515002879402</c:v>
                </c:pt>
                <c:pt idx="123">
                  <c:v>492.39510452965783</c:v>
                </c:pt>
                <c:pt idx="124">
                  <c:v>507.56695766554759</c:v>
                </c:pt>
                <c:pt idx="125">
                  <c:v>523.19396639551405</c:v>
                </c:pt>
                <c:pt idx="126">
                  <c:v>539.28978538737942</c:v>
                </c:pt>
                <c:pt idx="127">
                  <c:v>555.86847894900086</c:v>
                </c:pt>
                <c:pt idx="128">
                  <c:v>572.94453331747093</c:v>
                </c:pt>
                <c:pt idx="129">
                  <c:v>590.53286931699506</c:v>
                </c:pt>
                <c:pt idx="130">
                  <c:v>608.64885539650493</c:v>
                </c:pt>
                <c:pt idx="131">
                  <c:v>627.30832105840011</c:v>
                </c:pt>
                <c:pt idx="132">
                  <c:v>646.52757069015217</c:v>
                </c:pt>
                <c:pt idx="133">
                  <c:v>666.3233978108567</c:v>
                </c:pt>
                <c:pt idx="134">
                  <c:v>686.71309974518238</c:v>
                </c:pt>
                <c:pt idx="135">
                  <c:v>707.71449273753785</c:v>
                </c:pt>
                <c:pt idx="136">
                  <c:v>729.34592751966397</c:v>
                </c:pt>
                <c:pt idx="137">
                  <c:v>751.62630534525385</c:v>
                </c:pt>
                <c:pt idx="138">
                  <c:v>774.57509450561145</c:v>
                </c:pt>
                <c:pt idx="139">
                  <c:v>798.21234734077984</c:v>
                </c:pt>
                <c:pt idx="140">
                  <c:v>822.55871776100321</c:v>
                </c:pt>
                <c:pt idx="141">
                  <c:v>847.63547929383333</c:v>
                </c:pt>
                <c:pt idx="142">
                  <c:v>873.46454367264835</c:v>
                </c:pt>
                <c:pt idx="143">
                  <c:v>900.06847998282785</c:v>
                </c:pt>
                <c:pt idx="144">
                  <c:v>927.47053438231274</c:v>
                </c:pt>
                <c:pt idx="145">
                  <c:v>955.69465041378214</c:v>
                </c:pt>
                <c:pt idx="146">
                  <c:v>984.76548992619564</c:v>
                </c:pt>
                <c:pt idx="147">
                  <c:v>1014.7084546239815</c:v>
                </c:pt>
                <c:pt idx="148">
                  <c:v>1045.549708262701</c:v>
                </c:pt>
                <c:pt idx="149">
                  <c:v>1077.316199510582</c:v>
                </c:pt>
                <c:pt idx="150">
                  <c:v>1110.0356854958995</c:v>
                </c:pt>
                <c:pt idx="151">
                  <c:v>1143.7367560607765</c:v>
                </c:pt>
                <c:pt idx="152">
                  <c:v>1178.4488587425999</c:v>
                </c:pt>
                <c:pt idx="153">
                  <c:v>1214.2023245048779</c:v>
                </c:pt>
                <c:pt idx="154">
                  <c:v>1251.0283942400242</c:v>
                </c:pt>
                <c:pt idx="155">
                  <c:v>1288.959246067225</c:v>
                </c:pt>
                <c:pt idx="156">
                  <c:v>1328.0280234492418</c:v>
                </c:pt>
                <c:pt idx="157">
                  <c:v>1368.2688641527191</c:v>
                </c:pt>
                <c:pt idx="158">
                  <c:v>1409.7169300773007</c:v>
                </c:pt>
                <c:pt idx="159">
                  <c:v>1452.4084379796197</c:v>
                </c:pt>
                <c:pt idx="160">
                  <c:v>1496.3806911190084</c:v>
                </c:pt>
                <c:pt idx="161">
                  <c:v>1541.6721118525786</c:v>
                </c:pt>
                <c:pt idx="162">
                  <c:v>1588.322275208156</c:v>
                </c:pt>
                <c:pt idx="163">
                  <c:v>1636.3719434644008</c:v>
                </c:pt>
                <c:pt idx="164">
                  <c:v>1685.8631017683329</c:v>
                </c:pt>
                <c:pt idx="165">
                  <c:v>1736.8389948213828</c:v>
                </c:pt>
                <c:pt idx="166">
                  <c:v>1789.3441646660244</c:v>
                </c:pt>
                <c:pt idx="167">
                  <c:v>1843.4244896060052</c:v>
                </c:pt>
                <c:pt idx="168">
                  <c:v>1899.1272242941855</c:v>
                </c:pt>
                <c:pt idx="169">
                  <c:v>1956.5010410230111</c:v>
                </c:pt>
                <c:pt idx="170">
                  <c:v>2015.5960722537015</c:v>
                </c:pt>
                <c:pt idx="171">
                  <c:v>2076.4639544213128</c:v>
                </c:pt>
                <c:pt idx="172">
                  <c:v>2139.1578730539522</c:v>
                </c:pt>
                <c:pt idx="173">
                  <c:v>2203.732609245571</c:v>
                </c:pt>
                <c:pt idx="174">
                  <c:v>2270.2445875229382</c:v>
                </c:pt>
                <c:pt idx="175">
                  <c:v>2338.7519251486265</c:v>
                </c:pt>
                <c:pt idx="176">
                  <c:v>2409.3144829030853</c:v>
                </c:pt>
                <c:pt idx="177">
                  <c:v>2481.993917390178</c:v>
                </c:pt>
                <c:pt idx="178">
                  <c:v>2556.8537349118833</c:v>
                </c:pt>
                <c:pt idx="179">
                  <c:v>2633.9593469592396</c:v>
                </c:pt>
                <c:pt idx="180">
                  <c:v>2713.378127368017</c:v>
                </c:pt>
                <c:pt idx="181">
                  <c:v>2795.1794711890575</c:v>
                </c:pt>
                <c:pt idx="182">
                  <c:v>2879.4348553247291</c:v>
                </c:pt>
                <c:pt idx="183">
                  <c:v>2966.2179009844713</c:v>
                </c:pt>
                <c:pt idx="184">
                  <c:v>3055.6044380140056</c:v>
                </c:pt>
                <c:pt idx="185">
                  <c:v>3147.6725711544259</c:v>
                </c:pt>
                <c:pt idx="186">
                  <c:v>3242.5027482890587</c:v>
                </c:pt>
                <c:pt idx="187">
                  <c:v>3340.1778307377303</c:v>
                </c:pt>
                <c:pt idx="188">
                  <c:v>3440.7831656598623</c:v>
                </c:pt>
                <c:pt idx="189">
                  <c:v>3544.4066606296583</c:v>
                </c:pt>
                <c:pt idx="190">
                  <c:v>3651.1388604485483</c:v>
                </c:pt>
                <c:pt idx="191">
                  <c:v>3761.0730262620045</c:v>
                </c:pt>
                <c:pt idx="192">
                  <c:v>3874.305217049865</c:v>
                </c:pt>
                <c:pt idx="193">
                  <c:v>3990.9343735613611</c:v>
                </c:pt>
                <c:pt idx="194">
                  <c:v>4111.0624047682022</c:v>
                </c:pt>
                <c:pt idx="195">
                  <c:v>4234.7942769112487</c:v>
                </c:pt>
                <c:pt idx="196">
                  <c:v>4362.2381052185865</c:v>
                </c:pt>
                <c:pt idx="197">
                  <c:v>4493.5052483751442</c:v>
                </c:pt>
                <c:pt idx="198">
                  <c:v>4628.7104058263985</c:v>
                </c:pt>
                <c:pt idx="199">
                  <c:v>4767.9717180011903</c:v>
                </c:pt>
                <c:pt idx="200">
                  <c:v>4911.410869541226</c:v>
                </c:pt>
                <c:pt idx="201">
                  <c:v>5059.153195627463</c:v>
                </c:pt>
                <c:pt idx="202">
                  <c:v>5211.3277914962873</c:v>
                </c:pt>
                <c:pt idx="203">
                  <c:v>5368.0676252411758</c:v>
                </c:pt>
                <c:pt idx="204">
                  <c:v>5529.5096539984115</c:v>
                </c:pt>
                <c:pt idx="205">
                  <c:v>5695.7949436183635</c:v>
                </c:pt>
                <c:pt idx="206">
                  <c:v>5867.0687919269149</c:v>
                </c:pt>
                <c:pt idx="207">
                  <c:v>6043.480855684722</c:v>
                </c:pt>
                <c:pt idx="208">
                  <c:v>6225.1852813552632</c:v>
                </c:pt>
                <c:pt idx="209">
                  <c:v>6412.3408397959211</c:v>
                </c:pt>
                <c:pt idx="210">
                  <c:v>6605.1110649897992</c:v>
                </c:pt>
                <c:pt idx="211">
                  <c:v>6803.6643969394936</c:v>
                </c:pt>
                <c:pt idx="212">
                  <c:v>7008.1743288476782</c:v>
                </c:pt>
                <c:pt idx="213">
                  <c:v>7218.8195587131086</c:v>
                </c:pt>
                <c:pt idx="214">
                  <c:v>7435.7841454745021</c:v>
                </c:pt>
                <c:pt idx="215">
                  <c:v>7659.2576698387375</c:v>
                </c:pt>
                <c:pt idx="216">
                  <c:v>7889.4353999339</c:v>
                </c:pt>
                <c:pt idx="217">
                  <c:v>8126.518461931917</c:v>
                </c:pt>
                <c:pt idx="218">
                  <c:v>8370.7140157898739</c:v>
                </c:pt>
                <c:pt idx="219">
                  <c:v>8622.2354362635706</c:v>
                </c:pt>
                <c:pt idx="220">
                  <c:v>8881.3024993514773</c:v>
                </c:pt>
                <c:pt idx="221">
                  <c:v>9148.1415743320213</c:v>
                </c:pt>
                <c:pt idx="222">
                  <c:v>9422.9858215619824</c:v>
                </c:pt>
                <c:pt idx="223">
                  <c:v>9706.075396208842</c:v>
                </c:pt>
                <c:pt idx="224">
                  <c:v>9997.6576580951078</c:v>
                </c:pt>
                <c:pt idx="225">
                  <c:v>10297.98738783796</c:v>
                </c:pt>
                <c:pt idx="226">
                  <c:v>10607.3270094731</c:v>
                </c:pt>
                <c:pt idx="227">
                  <c:v>10925.946819757293</c:v>
                </c:pt>
                <c:pt idx="228">
                  <c:v>11254.125224350013</c:v>
                </c:pt>
                <c:pt idx="229">
                  <c:v>11592.148981080514</c:v>
                </c:pt>
                <c:pt idx="230">
                  <c:v>11940.313450512929</c:v>
                </c:pt>
                <c:pt idx="231">
                  <c:v>12298.922854028317</c:v>
                </c:pt>
                <c:pt idx="232">
                  <c:v>12668.290539649166</c:v>
                </c:pt>
                <c:pt idx="233">
                  <c:v>13048.739255838642</c:v>
                </c:pt>
                <c:pt idx="234">
                  <c:v>13440.601433513801</c:v>
                </c:pt>
                <c:pt idx="235">
                  <c:v>13844.219476519214</c:v>
                </c:pt>
                <c:pt idx="236">
                  <c:v>14259.946060814791</c:v>
                </c:pt>
                <c:pt idx="237">
                  <c:v>14688.144442639235</c:v>
                </c:pt>
                <c:pt idx="238">
                  <c:v>15129.188775918412</c:v>
                </c:pt>
                <c:pt idx="239">
                  <c:v>15583.464439195965</c:v>
                </c:pt>
                <c:pt idx="240">
                  <c:v>16051.368372371844</c:v>
                </c:pt>
                <c:pt idx="241">
                  <c:v>16533.309423543</c:v>
                </c:pt>
                <c:pt idx="242">
                  <c:v>17029.70870624929</c:v>
                </c:pt>
                <c:pt idx="243">
                  <c:v>17540.999967436768</c:v>
                </c:pt>
                <c:pt idx="244">
                  <c:v>18067.62996645987</c:v>
                </c:pt>
                <c:pt idx="245">
                  <c:v>18610.058865453666</c:v>
                </c:pt>
                <c:pt idx="246">
                  <c:v>19168.760631417277</c:v>
                </c:pt>
                <c:pt idx="247">
                  <c:v>19744.223450359797</c:v>
                </c:pt>
                <c:pt idx="248">
                  <c:v>20336.950153870592</c:v>
                </c:pt>
                <c:pt idx="249">
                  <c:v>20947.45865848671</c:v>
                </c:pt>
                <c:pt idx="250">
                  <c:v>21576.282418241313</c:v>
                </c:pt>
                <c:pt idx="251">
                  <c:v>22223.970890788554</c:v>
                </c:pt>
                <c:pt idx="252">
                  <c:v>22891.090017512211</c:v>
                </c:pt>
                <c:pt idx="253">
                  <c:v>23578.222718037578</c:v>
                </c:pt>
                <c:pt idx="254">
                  <c:v>24285.969399578706</c:v>
                </c:pt>
                <c:pt idx="255">
                  <c:v>25014.948481566069</c:v>
                </c:pt>
                <c:pt idx="256">
                  <c:v>25765.796936013052</c:v>
                </c:pt>
                <c:pt idx="257">
                  <c:v>26539.170844093445</c:v>
                </c:pt>
                <c:pt idx="258">
                  <c:v>27335.74596941625</c:v>
                </c:pt>
                <c:pt idx="259">
                  <c:v>28156.218348498736</c:v>
                </c:pt>
                <c:pt idx="260">
                  <c:v>29001.304898953698</c:v>
                </c:pt>
                <c:pt idx="261">
                  <c:v>29871.744045922311</c:v>
                </c:pt>
                <c:pt idx="262">
                  <c:v>30768.296367299979</c:v>
                </c:pt>
                <c:pt idx="263">
                  <c:v>31691.745258318981</c:v>
                </c:pt>
                <c:pt idx="264">
                  <c:v>32642.897616068549</c:v>
                </c:pt>
                <c:pt idx="265">
                  <c:v>33622.584544550606</c:v>
                </c:pt>
                <c:pt idx="266">
                  <c:v>34631.662080887123</c:v>
                </c:pt>
                <c:pt idx="267">
                  <c:v>35671.011943313737</c:v>
                </c:pt>
                <c:pt idx="268">
                  <c:v>36741.542301613154</c:v>
                </c:pt>
                <c:pt idx="269">
                  <c:v>37844.18857066155</c:v>
                </c:pt>
                <c:pt idx="270">
                  <c:v>38979.914227781395</c:v>
                </c:pt>
                <c:pt idx="271">
                  <c:v>40149.711654614839</c:v>
                </c:pt>
                <c:pt idx="272">
                  <c:v>41354.603004253288</c:v>
                </c:pt>
                <c:pt idx="273">
                  <c:v>42595.641094380888</c:v>
                </c:pt>
                <c:pt idx="274">
                  <c:v>43873.910327212317</c:v>
                </c:pt>
                <c:pt idx="275">
                  <c:v>45190.527637028688</c:v>
                </c:pt>
                <c:pt idx="276">
                  <c:v>46546.643466139547</c:v>
                </c:pt>
                <c:pt idx="277">
                  <c:v>47943.442770123736</c:v>
                </c:pt>
                <c:pt idx="278">
                  <c:v>49382.14605322745</c:v>
                </c:pt>
                <c:pt idx="279">
                  <c:v>50864.010434824275</c:v>
                </c:pt>
                <c:pt idx="280">
                  <c:v>52390.330747869004</c:v>
                </c:pt>
                <c:pt idx="281">
                  <c:v>53962.440670305077</c:v>
                </c:pt>
                <c:pt idx="282">
                  <c:v>55581.713890414234</c:v>
                </c:pt>
                <c:pt idx="283">
                  <c:v>57249.565307126664</c:v>
                </c:pt>
                <c:pt idx="284">
                  <c:v>58967.452266340464</c:v>
                </c:pt>
                <c:pt idx="285">
                  <c:v>60736.875834330676</c:v>
                </c:pt>
                <c:pt idx="286">
                  <c:v>62559.382109360595</c:v>
                </c:pt>
                <c:pt idx="287">
                  <c:v>64436.563572641411</c:v>
                </c:pt>
                <c:pt idx="288">
                  <c:v>66370.060479820662</c:v>
                </c:pt>
                <c:pt idx="289">
                  <c:v>68361.562294215284</c:v>
                </c:pt>
                <c:pt idx="290">
                  <c:v>70412.809163041748</c:v>
                </c:pt>
                <c:pt idx="291">
                  <c:v>72525.593437932999</c:v>
                </c:pt>
                <c:pt idx="292">
                  <c:v>74701.761241070984</c:v>
                </c:pt>
                <c:pt idx="293">
                  <c:v>76943.214078303121</c:v>
                </c:pt>
                <c:pt idx="294">
                  <c:v>79251.910500652215</c:v>
                </c:pt>
                <c:pt idx="295">
                  <c:v>81629.86781567178</c:v>
                </c:pt>
                <c:pt idx="296">
                  <c:v>84079.163850141937</c:v>
                </c:pt>
                <c:pt idx="297">
                  <c:v>86601.938765646191</c:v>
                </c:pt>
                <c:pt idx="298">
                  <c:v>89200.396928615577</c:v>
                </c:pt>
                <c:pt idx="299">
                  <c:v>91876.808836474054</c:v>
                </c:pt>
                <c:pt idx="300">
                  <c:v>94633.513101568271</c:v>
                </c:pt>
              </c:numCache>
            </c:numRef>
          </c:xVal>
          <c:yVal>
            <c:numRef>
              <c:f>'Reactor sheet'!$K$15:$K$315</c:f>
              <c:numCache>
                <c:formatCode>General</c:formatCode>
                <c:ptCount val="301"/>
                <c:pt idx="0">
                  <c:v>30.28731011570974</c:v>
                </c:pt>
                <c:pt idx="1">
                  <c:v>30.36280901246338</c:v>
                </c:pt>
                <c:pt idx="2">
                  <c:v>30.439171441130529</c:v>
                </c:pt>
                <c:pt idx="3">
                  <c:v>30.516448193000386</c:v>
                </c:pt>
                <c:pt idx="4">
                  <c:v>30.5946877472323</c:v>
                </c:pt>
                <c:pt idx="5">
                  <c:v>30.67393666495602</c:v>
                </c:pt>
                <c:pt idx="6">
                  <c:v>30.754239915260339</c:v>
                </c:pt>
                <c:pt idx="7">
                  <c:v>30.835641147145598</c:v>
                </c:pt>
                <c:pt idx="8">
                  <c:v>30.918182918184485</c:v>
                </c:pt>
                <c:pt idx="9">
                  <c:v>31.001906888184202</c:v>
                </c:pt>
                <c:pt idx="10">
                  <c:v>31.086853984316512</c:v>
                </c:pt>
                <c:pt idx="11">
                  <c:v>31.173064542805186</c:v>
                </c:pt>
                <c:pt idx="12">
                  <c:v>31.260578431211332</c:v>
                </c:pt>
                <c:pt idx="13">
                  <c:v>31.349435154549845</c:v>
                </c:pt>
                <c:pt idx="14">
                  <c:v>31.439673947843332</c:v>
                </c:pt>
                <c:pt idx="15">
                  <c:v>31.531333857228869</c:v>
                </c:pt>
                <c:pt idx="16">
                  <c:v>31.624453811345241</c:v>
                </c:pt>
                <c:pt idx="17">
                  <c:v>31.71907268441992</c:v>
                </c:pt>
                <c:pt idx="18">
                  <c:v>31.815229352227856</c:v>
                </c:pt>
                <c:pt idx="19">
                  <c:v>31.912962741894855</c:v>
                </c:pt>
                <c:pt idx="20">
                  <c:v>32.012311876356492</c:v>
                </c:pt>
                <c:pt idx="21">
                  <c:v>32.11331591415135</c:v>
                </c:pt>
                <c:pt idx="22">
                  <c:v>32.21601418511878</c:v>
                </c:pt>
                <c:pt idx="23">
                  <c:v>32.320446222481742</c:v>
                </c:pt>
                <c:pt idx="24">
                  <c:v>32.426651791720772</c:v>
                </c:pt>
                <c:pt idx="25">
                  <c:v>32.534670916583011</c:v>
                </c:pt>
                <c:pt idx="26">
                  <c:v>32.644543902517967</c:v>
                </c:pt>
                <c:pt idx="27">
                  <c:v>32.75631135778783</c:v>
                </c:pt>
                <c:pt idx="28">
                  <c:v>32.870014212462799</c:v>
                </c:pt>
                <c:pt idx="29">
                  <c:v>32.985693735480176</c:v>
                </c:pt>
                <c:pt idx="30">
                  <c:v>33.103391549918911</c:v>
                </c:pt>
                <c:pt idx="31">
                  <c:v>33.223149646617856</c:v>
                </c:pt>
                <c:pt idx="32">
                  <c:v>33.345010396245925</c:v>
                </c:pt>
                <c:pt idx="33">
                  <c:v>33.469016559914778</c:v>
                </c:pt>
                <c:pt idx="34">
                  <c:v>33.595211298409502</c:v>
                </c:pt>
                <c:pt idx="35">
                  <c:v>33.723638180099279</c:v>
                </c:pt>
                <c:pt idx="36">
                  <c:v>33.854341187578235</c:v>
                </c:pt>
                <c:pt idx="37">
                  <c:v>33.987364723076354</c:v>
                </c:pt>
                <c:pt idx="38">
                  <c:v>34.122753612670763</c:v>
                </c:pt>
                <c:pt idx="39">
                  <c:v>34.260553109319602</c:v>
                </c:pt>
                <c:pt idx="40">
                  <c:v>34.40080889473294</c:v>
                </c:pt>
                <c:pt idx="41">
                  <c:v>34.543567080088501</c:v>
                </c:pt>
                <c:pt idx="42">
                  <c:v>34.688874205593599</c:v>
                </c:pt>
                <c:pt idx="43">
                  <c:v>34.836777238889034</c:v>
                </c:pt>
                <c:pt idx="44">
                  <c:v>34.987323572285327</c:v>
                </c:pt>
                <c:pt idx="45">
                  <c:v>35.140561018816669</c:v>
                </c:pt>
                <c:pt idx="46">
                  <c:v>35.296537807093522</c:v>
                </c:pt>
                <c:pt idx="47">
                  <c:v>35.45530257493013</c:v>
                </c:pt>
                <c:pt idx="48">
                  <c:v>35.616904361719378</c:v>
                </c:pt>
                <c:pt idx="49">
                  <c:v>35.781392599523208</c:v>
                </c:pt>
                <c:pt idx="50">
                  <c:v>35.948817102843179</c:v>
                </c:pt>
                <c:pt idx="51">
                  <c:v>36.119228057031961</c:v>
                </c:pt>
                <c:pt idx="52">
                  <c:v>36.292676005303171</c:v>
                </c:pt>
                <c:pt idx="53">
                  <c:v>36.469211834293269</c:v>
                </c:pt>
                <c:pt idx="54">
                  <c:v>36.648886758126082</c:v>
                </c:pt>
                <c:pt idx="55">
                  <c:v>36.831752300927064</c:v>
                </c:pt>
                <c:pt idx="56">
                  <c:v>37.01786027773116</c:v>
                </c:pt>
                <c:pt idx="57">
                  <c:v>37.207262773724935</c:v>
                </c:pt>
                <c:pt idx="58">
                  <c:v>37.400012121760454</c:v>
                </c:pt>
                <c:pt idx="59">
                  <c:v>37.596160878075224</c:v>
                </c:pt>
                <c:pt idx="60">
                  <c:v>37.7957617961493</c:v>
                </c:pt>
                <c:pt idx="61">
                  <c:v>37.998867798627693</c:v>
                </c:pt>
                <c:pt idx="62">
                  <c:v>38.205531947232956</c:v>
                </c:pt>
                <c:pt idx="63">
                  <c:v>38.415807410589863</c:v>
                </c:pt>
                <c:pt idx="64">
                  <c:v>38.629747429880929</c:v>
                </c:pt>
                <c:pt idx="65">
                  <c:v>38.847405282248545</c:v>
                </c:pt>
                <c:pt idx="66">
                  <c:v>39.068834241856436</c:v>
                </c:pt>
                <c:pt idx="67">
                  <c:v>39.294087538520138</c:v>
                </c:pt>
                <c:pt idx="68">
                  <c:v>39.523218313813281</c:v>
                </c:pt>
                <c:pt idx="69">
                  <c:v>39.75627957455341</c:v>
                </c:pt>
                <c:pt idx="70">
                  <c:v>39.993324143568287</c:v>
                </c:pt>
                <c:pt idx="71">
                  <c:v>40.234404607640762</c:v>
                </c:pt>
                <c:pt idx="72">
                  <c:v>40.479573262527417</c:v>
                </c:pt>
                <c:pt idx="73">
                  <c:v>40.728882054943654</c:v>
                </c:pt>
                <c:pt idx="74">
                  <c:v>40.982382521405121</c:v>
                </c:pt>
                <c:pt idx="75">
                  <c:v>41.240125723812945</c:v>
                </c:pt>
                <c:pt idx="76">
                  <c:v>41.502162181667806</c:v>
                </c:pt>
                <c:pt idx="77">
                  <c:v>41.768541800795617</c:v>
                </c:pt>
                <c:pt idx="78">
                  <c:v>42.039313798465543</c:v>
                </c:pt>
                <c:pt idx="79">
                  <c:v>42.314526624778992</c:v>
                </c:pt>
                <c:pt idx="80">
                  <c:v>42.594227880206724</c:v>
                </c:pt>
                <c:pt idx="81">
                  <c:v>42.878464229149436</c:v>
                </c:pt>
                <c:pt idx="82">
                  <c:v>43.16728130939623</c:v>
                </c:pt>
                <c:pt idx="83">
                  <c:v>43.460723637354135</c:v>
                </c:pt>
                <c:pt idx="84">
                  <c:v>43.758834508921403</c:v>
                </c:pt>
                <c:pt idx="85">
                  <c:v>44.061655895876918</c:v>
                </c:pt>
                <c:pt idx="86">
                  <c:v>44.369228337658171</c:v>
                </c:pt>
                <c:pt idx="87">
                  <c:v>44.681590828400772</c:v>
                </c:pt>
                <c:pt idx="88">
                  <c:v>44.998780699113539</c:v>
                </c:pt>
                <c:pt idx="89">
                  <c:v>45.32083349486463</c:v>
                </c:pt>
                <c:pt idx="90">
                  <c:v>45.647782846856437</c:v>
                </c:pt>
                <c:pt idx="91">
                  <c:v>45.979660339269536</c:v>
                </c:pt>
                <c:pt idx="92">
                  <c:v>46.316495370759554</c:v>
                </c:pt>
                <c:pt idx="93">
                  <c:v>46.65831501049491</c:v>
                </c:pt>
                <c:pt idx="94">
                  <c:v>47.005143848628393</c:v>
                </c:pt>
                <c:pt idx="95">
                  <c:v>47.357003841101424</c:v>
                </c:pt>
                <c:pt idx="96">
                  <c:v>47.713914148686641</c:v>
                </c:pt>
                <c:pt idx="97">
                  <c:v>48.075890970182371</c:v>
                </c:pt>
                <c:pt idx="98">
                  <c:v>48.442947369681463</c:v>
                </c:pt>
                <c:pt idx="99">
                  <c:v>48.815093097847189</c:v>
                </c:pt>
                <c:pt idx="100">
                  <c:v>49.192334407140322</c:v>
                </c:pt>
                <c:pt idx="101">
                  <c:v>49.574673860954491</c:v>
                </c:pt>
                <c:pt idx="102">
                  <c:v>49.962110136631061</c:v>
                </c:pt>
                <c:pt idx="103">
                  <c:v>50.354637822340926</c:v>
                </c:pt>
                <c:pt idx="104">
                  <c:v>50.752247207838067</c:v>
                </c:pt>
                <c:pt idx="105">
                  <c:v>51.154924069109221</c:v>
                </c:pt>
                <c:pt idx="106">
                  <c:v>51.562649446965423</c:v>
                </c:pt>
                <c:pt idx="107">
                  <c:v>51.975399419644432</c:v>
                </c:pt>
                <c:pt idx="108">
                  <c:v>52.393144869518707</c:v>
                </c:pt>
                <c:pt idx="109">
                  <c:v>52.815851244031421</c:v>
                </c:pt>
                <c:pt idx="110">
                  <c:v>53.24347831101317</c:v>
                </c:pt>
                <c:pt idx="111">
                  <c:v>53.675979908564877</c:v>
                </c:pt>
                <c:pt idx="112">
                  <c:v>54.113303689727751</c:v>
                </c:pt>
                <c:pt idx="113">
                  <c:v>54.555390862199417</c:v>
                </c:pt>
                <c:pt idx="114">
                  <c:v>55.002175923396372</c:v>
                </c:pt>
                <c:pt idx="115">
                  <c:v>55.453586391207175</c:v>
                </c:pt>
                <c:pt idx="116">
                  <c:v>55.909542530827927</c:v>
                </c:pt>
                <c:pt idx="117">
                  <c:v>56.369957078122241</c:v>
                </c:pt>
                <c:pt idx="118">
                  <c:v>56.834734960001704</c:v>
                </c:pt>
                <c:pt idx="119">
                  <c:v>57.303773012380255</c:v>
                </c:pt>
                <c:pt idx="120">
                  <c:v>57.776959696316666</c:v>
                </c:pt>
                <c:pt idx="121">
                  <c:v>58.254174813023887</c:v>
                </c:pt>
                <c:pt idx="122">
                  <c:v>58.735289218492007</c:v>
                </c:pt>
                <c:pt idx="123">
                  <c:v>59.220164538543379</c:v>
                </c:pt>
                <c:pt idx="124">
                  <c:v>59.708652885213958</c:v>
                </c:pt>
                <c:pt idx="125">
                  <c:v>60.200596575433877</c:v>
                </c:pt>
                <c:pt idx="126">
                  <c:v>60.695827853062966</c:v>
                </c:pt>
                <c:pt idx="127">
                  <c:v>61.194168615423166</c:v>
                </c:pt>
                <c:pt idx="128">
                  <c:v>61.695430145559236</c:v>
                </c:pt>
                <c:pt idx="129">
                  <c:v>62.199412851551742</c:v>
                </c:pt>
                <c:pt idx="130">
                  <c:v>62.705906014302215</c:v>
                </c:pt>
                <c:pt idx="131">
                  <c:v>63.214687545308358</c:v>
                </c:pt>
                <c:pt idx="132">
                  <c:v>63.72552375604797</c:v>
                </c:pt>
                <c:pt idx="133">
                  <c:v>64.238169140692619</c:v>
                </c:pt>
                <c:pt idx="134">
                  <c:v>64.752366173976014</c:v>
                </c:pt>
                <c:pt idx="135">
                  <c:v>65.26784512614644</c:v>
                </c:pt>
                <c:pt idx="136">
                  <c:v>65.784323897037737</c:v>
                </c:pt>
                <c:pt idx="137">
                  <c:v>66.301507871396907</c:v>
                </c:pt>
                <c:pt idx="138">
                  <c:v>66.819089797709438</c:v>
                </c:pt>
                <c:pt idx="139">
                  <c:v>67.336749692863066</c:v>
                </c:pt>
                <c:pt idx="140">
                  <c:v>67.854154775087309</c:v>
                </c:pt>
                <c:pt idx="141">
                  <c:v>68.370959427697585</c:v>
                </c:pt>
                <c:pt idx="142">
                  <c:v>68.886805196257882</c:v>
                </c:pt>
                <c:pt idx="143">
                  <c:v>69.401320821853645</c:v>
                </c:pt>
                <c:pt idx="144">
                  <c:v>69.914122313234685</c:v>
                </c:pt>
                <c:pt idx="145">
                  <c:v>70.424813060644851</c:v>
                </c:pt>
                <c:pt idx="146">
                  <c:v>70.932983994199262</c:v>
                </c:pt>
                <c:pt idx="147">
                  <c:v>71.438213789698594</c:v>
                </c:pt>
                <c:pt idx="148">
                  <c:v>71.940069124781331</c:v>
                </c:pt>
                <c:pt idx="149">
                  <c:v>72.438104988306705</c:v>
                </c:pt>
                <c:pt idx="150">
                  <c:v>72.931865045830378</c:v>
                </c:pt>
                <c:pt idx="151">
                  <c:v>73.420882063979789</c:v>
                </c:pt>
                <c:pt idx="152">
                  <c:v>73.904678396453235</c:v>
                </c:pt>
                <c:pt idx="153">
                  <c:v>74.382766534253847</c:v>
                </c:pt>
                <c:pt idx="154">
                  <c:v>74.85464972262352</c:v>
                </c:pt>
                <c:pt idx="155">
                  <c:v>75.319822646959821</c:v>
                </c:pt>
                <c:pt idx="156">
                  <c:v>75.777772189778332</c:v>
                </c:pt>
                <c:pt idx="157">
                  <c:v>76.227978260520345</c:v>
                </c:pt>
                <c:pt idx="158">
                  <c:v>76.66991469969966</c:v>
                </c:pt>
                <c:pt idx="159">
                  <c:v>77.103050258528839</c:v>
                </c:pt>
                <c:pt idx="160">
                  <c:v>77.526849654763183</c:v>
                </c:pt>
                <c:pt idx="161">
                  <c:v>77.940774705047602</c:v>
                </c:pt>
                <c:pt idx="162">
                  <c:v>78.344285533545644</c:v>
                </c:pt>
                <c:pt idx="163">
                  <c:v>78.736841856070939</c:v>
                </c:pt>
                <c:pt idx="164">
                  <c:v>79.117904338327349</c:v>
                </c:pt>
                <c:pt idx="165">
                  <c:v>79.486936026196517</c:v>
                </c:pt>
                <c:pt idx="166">
                  <c:v>79.843403845290695</c:v>
                </c:pt>
                <c:pt idx="167">
                  <c:v>80.186780166216252</c:v>
                </c:pt>
                <c:pt idx="168">
                  <c:v>80.516544431172434</c:v>
                </c:pt>
                <c:pt idx="169">
                  <c:v>80.832184836644217</c:v>
                </c:pt>
                <c:pt idx="170">
                  <c:v>81.133200066043301</c:v>
                </c:pt>
                <c:pt idx="171">
                  <c:v>81.419101065213169</c:v>
                </c:pt>
                <c:pt idx="172">
                  <c:v>81.68941285275136</c:v>
                </c:pt>
                <c:pt idx="173">
                  <c:v>81.943676356123987</c:v>
                </c:pt>
                <c:pt idx="174">
                  <c:v>82.181450263565239</c:v>
                </c:pt>
                <c:pt idx="175">
                  <c:v>82.402312880781125</c:v>
                </c:pt>
                <c:pt idx="176">
                  <c:v>82.605863980526522</c:v>
                </c:pt>
                <c:pt idx="177">
                  <c:v>82.791726632213809</c:v>
                </c:pt>
                <c:pt idx="178">
                  <c:v>82.959548997858292</c:v>
                </c:pt>
                <c:pt idx="179">
                  <c:v>83.109006079888943</c:v>
                </c:pt>
                <c:pt idx="180">
                  <c:v>83.239801405674029</c:v>
                </c:pt>
                <c:pt idx="181">
                  <c:v>83.351668633051133</c:v>
                </c:pt>
                <c:pt idx="182">
                  <c:v>83.444373060733199</c:v>
                </c:pt>
                <c:pt idx="183">
                  <c:v>83.517713027208771</c:v>
                </c:pt>
                <c:pt idx="184">
                  <c:v>83.571521181688979</c:v>
                </c:pt>
                <c:pt idx="185">
                  <c:v>83.605665610798411</c:v>
                </c:pt>
                <c:pt idx="186">
                  <c:v>83.62005080508267</c:v>
                </c:pt>
                <c:pt idx="187">
                  <c:v>83.614618450031671</c:v>
                </c:pt>
                <c:pt idx="188">
                  <c:v>83.589348027211116</c:v>
                </c:pt>
                <c:pt idx="189">
                  <c:v>83.544257212268178</c:v>
                </c:pt>
                <c:pt idx="190">
                  <c:v>83.479402058040449</c:v>
                </c:pt>
                <c:pt idx="191">
                  <c:v>83.394876952752611</c:v>
                </c:pt>
                <c:pt idx="192">
                  <c:v>83.290814345331626</c:v>
                </c:pt>
                <c:pt idx="193">
                  <c:v>83.167384232198799</c:v>
                </c:pt>
                <c:pt idx="194">
                  <c:v>83.024793402489536</c:v>
                </c:pt>
                <c:pt idx="195">
                  <c:v>82.863284441483998</c:v>
                </c:pt>
                <c:pt idx="196">
                  <c:v>82.683134495071627</c:v>
                </c:pt>
                <c:pt idx="197">
                  <c:v>82.484653801276764</c:v>
                </c:pt>
                <c:pt idx="198">
                  <c:v>82.268183998192484</c:v>
                </c:pt>
                <c:pt idx="199">
                  <c:v>82.034096221044834</c:v>
                </c:pt>
                <c:pt idx="200">
                  <c:v>81.782789004476058</c:v>
                </c:pt>
                <c:pt idx="201">
                  <c:v>81.514686009418398</c:v>
                </c:pt>
                <c:pt idx="202">
                  <c:v>81.230233597054777</c:v>
                </c:pt>
                <c:pt idx="203">
                  <c:v>80.92989827524687</c:v>
                </c:pt>
                <c:pt idx="204">
                  <c:v>80.61416404537465</c:v>
                </c:pt>
                <c:pt idx="205">
                  <c:v>80.283529679694894</c:v>
                </c:pt>
                <c:pt idx="206">
                  <c:v>79.938505961013576</c:v>
                </c:pt>
                <c:pt idx="207">
                  <c:v>79.579612917611357</c:v>
                </c:pt>
                <c:pt idx="208">
                  <c:v>79.207377086904174</c:v>
                </c:pt>
                <c:pt idx="209">
                  <c:v>78.82232884121764</c:v>
                </c:pt>
                <c:pt idx="210">
                  <c:v>78.424999808275615</c:v>
                </c:pt>
                <c:pt idx="211">
                  <c:v>78.015920417537643</c:v>
                </c:pt>
                <c:pt idx="212">
                  <c:v>77.595617601376276</c:v>
                </c:pt>
                <c:pt idx="213">
                  <c:v>77.164612677291728</c:v>
                </c:pt>
                <c:pt idx="214">
                  <c:v>76.723419433967734</c:v>
                </c:pt>
                <c:pt idx="215">
                  <c:v>76.272542440049733</c:v>
                </c:pt>
                <c:pt idx="216">
                  <c:v>75.81247559016434</c:v>
                </c:pt>
                <c:pt idx="217">
                  <c:v>75.343700898003689</c:v>
                </c:pt>
                <c:pt idx="218">
                  <c:v>74.866687541391158</c:v>
                </c:pt>
                <c:pt idx="219">
                  <c:v>74.381891159256284</c:v>
                </c:pt>
                <c:pt idx="220">
                  <c:v>73.889753395513523</c:v>
                </c:pt>
                <c:pt idx="221">
                  <c:v>73.390701680099028</c:v>
                </c:pt>
                <c:pt idx="222">
                  <c:v>72.885149233004498</c:v>
                </c:pt>
                <c:pt idx="223">
                  <c:v>72.373495273181547</c:v>
                </c:pt>
                <c:pt idx="224">
                  <c:v>71.85612541078271</c:v>
                </c:pt>
                <c:pt idx="225">
                  <c:v>71.333412198446823</c:v>
                </c:pt>
                <c:pt idx="226">
                  <c:v>70.805715815294889</c:v>
                </c:pt>
                <c:pt idx="227">
                  <c:v>70.273384856020613</c:v>
                </c:pt>
                <c:pt idx="228">
                  <c:v>69.736757196953647</c:v>
                </c:pt>
                <c:pt idx="229">
                  <c:v>69.196160911231402</c:v>
                </c:pt>
                <c:pt idx="230">
                  <c:v>68.651915206199106</c:v>
                </c:pt>
                <c:pt idx="231">
                  <c:v>68.104331357805052</c:v>
                </c:pt>
                <c:pt idx="232">
                  <c:v>67.553713618983508</c:v>
                </c:pt>
                <c:pt idx="233">
                  <c:v>67.000360081720046</c:v>
                </c:pt>
                <c:pt idx="234">
                  <c:v>66.444563475557658</c:v>
                </c:pt>
                <c:pt idx="235">
                  <c:v>65.886611888604278</c:v>
                </c:pt>
                <c:pt idx="236">
                  <c:v>65.32678940051909</c:v>
                </c:pt>
                <c:pt idx="237">
                  <c:v>64.765376620363938</c:v>
                </c:pt>
                <c:pt idx="238">
                  <c:v>64.202651125495848</c:v>
                </c:pt>
                <c:pt idx="239">
                  <c:v>63.638887800746119</c:v>
                </c:pt>
                <c:pt idx="240">
                  <c:v>63.074359079898372</c:v>
                </c:pt>
                <c:pt idx="241">
                  <c:v>62.509335093877368</c:v>
                </c:pt>
                <c:pt idx="242">
                  <c:v>61.944083732050039</c:v>
                </c:pt>
                <c:pt idx="243">
                  <c:v>61.378870624596537</c:v>
                </c:pt>
                <c:pt idx="244">
                  <c:v>60.813959055030459</c:v>
                </c:pt>
                <c:pt idx="245">
                  <c:v>60.24960981264887</c:v>
                </c:pt>
                <c:pt idx="246">
                  <c:v>59.686080995006861</c:v>
                </c:pt>
                <c:pt idx="247">
                  <c:v>59.123627770480013</c:v>
                </c:pt>
                <c:pt idx="248">
                  <c:v>58.562502110655494</c:v>
                </c:pt>
                <c:pt idx="249">
                  <c:v>58.002952501734214</c:v>
                </c:pt>
                <c:pt idx="250">
                  <c:v>57.445223643391621</c:v>
                </c:pt>
                <c:pt idx="251">
                  <c:v>56.889556142690139</c:v>
                </c:pt>
                <c:pt idx="252">
                  <c:v>56.336186209713247</c:v>
                </c:pt>
                <c:pt idx="253">
                  <c:v>55.785345360646097</c:v>
                </c:pt>
                <c:pt idx="254">
                  <c:v>55.237260133097159</c:v>
                </c:pt>
                <c:pt idx="255">
                  <c:v>54.692151817569872</c:v>
                </c:pt>
                <c:pt idx="256">
                  <c:v>54.15023620817275</c:v>
                </c:pt>
                <c:pt idx="257">
                  <c:v>53.611723374914334</c:v>
                </c:pt>
                <c:pt idx="258">
                  <c:v>53.076817459272647</c:v>
                </c:pt>
                <c:pt idx="259">
                  <c:v>52.545716494157077</c:v>
                </c:pt>
                <c:pt idx="260">
                  <c:v>52.01861224889187</c:v>
                </c:pt>
                <c:pt idx="261">
                  <c:v>51.495690099437603</c:v>
                </c:pt>
                <c:pt idx="262">
                  <c:v>50.977128923722319</c:v>
                </c:pt>
                <c:pt idx="263">
                  <c:v>50.463101021669495</c:v>
                </c:pt>
                <c:pt idx="264">
                  <c:v>49.953772059276062</c:v>
                </c:pt>
                <c:pt idx="265">
                  <c:v>49.449301035903822</c:v>
                </c:pt>
                <c:pt idx="266">
                  <c:v>48.949840273793576</c:v>
                </c:pt>
                <c:pt idx="267">
                  <c:v>48.455535428688371</c:v>
                </c:pt>
                <c:pt idx="268">
                  <c:v>47.966525520354551</c:v>
                </c:pt>
                <c:pt idx="269">
                  <c:v>47.482942981714189</c:v>
                </c:pt>
                <c:pt idx="270">
                  <c:v>47.004913725245473</c:v>
                </c:pt>
                <c:pt idx="271">
                  <c:v>46.53255722526788</c:v>
                </c:pt>
                <c:pt idx="272">
                  <c:v>46.065986614702688</c:v>
                </c:pt>
                <c:pt idx="273">
                  <c:v>45.605308794886987</c:v>
                </c:pt>
                <c:pt idx="274">
                  <c:v>45.150624557017444</c:v>
                </c:pt>
                <c:pt idx="275">
                  <c:v>44.702028713808588</c:v>
                </c:pt>
                <c:pt idx="276">
                  <c:v>44.259610239967948</c:v>
                </c:pt>
                <c:pt idx="277">
                  <c:v>43.823452420115558</c:v>
                </c:pt>
                <c:pt idx="278">
                  <c:v>43.39363300280673</c:v>
                </c:pt>
                <c:pt idx="279">
                  <c:v>42.970224359354908</c:v>
                </c:pt>
                <c:pt idx="280">
                  <c:v>42.553293646193062</c:v>
                </c:pt>
                <c:pt idx="281">
                  <c:v>42.142902969557767</c:v>
                </c:pt>
                <c:pt idx="282">
                  <c:v>41.73910955132871</c:v>
                </c:pt>
                <c:pt idx="283">
                  <c:v>41.3419658949066</c:v>
                </c:pt>
                <c:pt idx="284">
                  <c:v>40.951519950064117</c:v>
                </c:pt>
                <c:pt idx="285">
                  <c:v>40.567815275756686</c:v>
                </c:pt>
                <c:pt idx="286">
                  <c:v>40.190891199932395</c:v>
                </c:pt>
                <c:pt idx="287">
                  <c:v>39.820782975431669</c:v>
                </c:pt>
                <c:pt idx="288">
                  <c:v>39.45752193111835</c:v>
                </c:pt>
                <c:pt idx="289">
                  <c:v>39.101135617433613</c:v>
                </c:pt>
                <c:pt idx="290">
                  <c:v>38.751647945612191</c:v>
                </c:pt>
                <c:pt idx="291">
                  <c:v>38.409079319847216</c:v>
                </c:pt>
                <c:pt idx="292">
                  <c:v>38.073446761734672</c:v>
                </c:pt>
                <c:pt idx="293">
                  <c:v>37.7447640263727</c:v>
                </c:pt>
                <c:pt idx="294">
                  <c:v>37.423041709531745</c:v>
                </c:pt>
                <c:pt idx="295">
                  <c:v>37.108287345353624</c:v>
                </c:pt>
                <c:pt idx="296">
                  <c:v>36.800505494075892</c:v>
                </c:pt>
                <c:pt idx="297">
                  <c:v>36.499697819318293</c:v>
                </c:pt>
                <c:pt idx="298">
                  <c:v>36.205863154505153</c:v>
                </c:pt>
                <c:pt idx="299">
                  <c:v>35.918997558038583</c:v>
                </c:pt>
                <c:pt idx="300">
                  <c:v>35.639094356874978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9-AD47-953A-68F9821D3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822688"/>
        <c:axId val="1001840656"/>
      </c:scatterChart>
      <c:valAx>
        <c:axId val="100182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Mass of Catalyst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840656"/>
        <c:crosses val="autoZero"/>
        <c:crossBetween val="midCat"/>
      </c:valAx>
      <c:valAx>
        <c:axId val="100184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Molar</a:t>
                </a:r>
                <a:r>
                  <a:rPr lang="en-US" baseline="0"/>
                  <a:t> flow mol/s</a:t>
                </a: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822688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Temperature</a:t>
            </a:r>
            <a:r>
              <a:rPr lang="en-US" baseline="0"/>
              <a:t> Profile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Sheet1!$AV$33:$AV$38</c:f>
              <c:numCache>
                <c:formatCode>0.00E+00</c:formatCode>
                <c:ptCount val="6"/>
                <c:pt idx="0" formatCode="General">
                  <c:v>6000</c:v>
                </c:pt>
                <c:pt idx="1">
                  <c:v>21785.747769891692</c:v>
                </c:pt>
                <c:pt idx="2" formatCode="General">
                  <c:v>17500</c:v>
                </c:pt>
                <c:pt idx="3">
                  <c:v>4423.5217807871813</c:v>
                </c:pt>
                <c:pt idx="4" formatCode="General">
                  <c:v>4000</c:v>
                </c:pt>
                <c:pt idx="5">
                  <c:v>-37531.623065378371</c:v>
                </c:pt>
              </c:numCache>
            </c:numRef>
          </c:xVal>
          <c:yVal>
            <c:numRef>
              <c:f>Sheet1!$AW$33:$AW$38</c:f>
              <c:numCache>
                <c:formatCode>General</c:formatCode>
                <c:ptCount val="6"/>
                <c:pt idx="0">
                  <c:v>139.56565665490669</c:v>
                </c:pt>
                <c:pt idx="1">
                  <c:v>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9-0F4F-9E47-EDF94400803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Sheet1!$AV$33:$AV$38</c:f>
              <c:numCache>
                <c:formatCode>0.00E+00</c:formatCode>
                <c:ptCount val="6"/>
                <c:pt idx="0" formatCode="General">
                  <c:v>6000</c:v>
                </c:pt>
                <c:pt idx="1">
                  <c:v>21785.747769891692</c:v>
                </c:pt>
                <c:pt idx="2" formatCode="General">
                  <c:v>17500</c:v>
                </c:pt>
                <c:pt idx="3">
                  <c:v>4423.5217807871813</c:v>
                </c:pt>
                <c:pt idx="4" formatCode="General">
                  <c:v>4000</c:v>
                </c:pt>
                <c:pt idx="5">
                  <c:v>-37531.623065378371</c:v>
                </c:pt>
              </c:numCache>
            </c:numRef>
          </c:xVal>
          <c:yVal>
            <c:numRef>
              <c:f>Sheet1!$AX$33:$AX$38</c:f>
              <c:numCache>
                <c:formatCode>General</c:formatCode>
                <c:ptCount val="6"/>
                <c:pt idx="2">
                  <c:v>249</c:v>
                </c:pt>
                <c:pt idx="3">
                  <c:v>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49-0F4F-9E47-EDF94400803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Sheet1!$AV$33:$AV$38</c:f>
              <c:numCache>
                <c:formatCode>0.00E+00</c:formatCode>
                <c:ptCount val="6"/>
                <c:pt idx="0" formatCode="General">
                  <c:v>6000</c:v>
                </c:pt>
                <c:pt idx="1">
                  <c:v>21785.747769891692</c:v>
                </c:pt>
                <c:pt idx="2" formatCode="General">
                  <c:v>17500</c:v>
                </c:pt>
                <c:pt idx="3">
                  <c:v>4423.5217807871813</c:v>
                </c:pt>
                <c:pt idx="4" formatCode="General">
                  <c:v>4000</c:v>
                </c:pt>
                <c:pt idx="5">
                  <c:v>-37531.623065378371</c:v>
                </c:pt>
              </c:numCache>
            </c:numRef>
          </c:xVal>
          <c:yVal>
            <c:numRef>
              <c:f>Sheet1!$AY$33:$AY$38</c:f>
              <c:numCache>
                <c:formatCode>General</c:formatCode>
                <c:ptCount val="6"/>
                <c:pt idx="4">
                  <c:v>249</c:v>
                </c:pt>
                <c:pt idx="5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49-0F4F-9E47-EDF944008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304527"/>
        <c:axId val="68828384"/>
      </c:scatterChart>
      <c:valAx>
        <c:axId val="2013304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28384"/>
        <c:crosses val="autoZero"/>
        <c:crossBetween val="midCat"/>
      </c:valAx>
      <c:valAx>
        <c:axId val="68828384"/>
        <c:scaling>
          <c:orientation val="minMax"/>
          <c:max val="2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304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Conversion</a:t>
            </a:r>
            <a:r>
              <a:rPr lang="en-US" baseline="0"/>
              <a:t> vs Catalyst mass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3462972832787"/>
          <c:y val="0.24947000596624608"/>
          <c:w val="0.76877815015541806"/>
          <c:h val="0.56944832453809757"/>
        </c:manualLayout>
      </c:layout>
      <c:scatterChart>
        <c:scatterStyle val="smoothMarker"/>
        <c:varyColors val="0"/>
        <c:ser>
          <c:idx val="1"/>
          <c:order val="0"/>
          <c:tx>
            <c:v>Methanol</c:v>
          </c:tx>
          <c:xVal>
            <c:numRef>
              <c:f>'Reactor sheet'!$D$15:$D$315</c:f>
              <c:numCache>
                <c:formatCode>General</c:formatCode>
                <c:ptCount val="301"/>
                <c:pt idx="0">
                  <c:v>0</c:v>
                </c:pt>
                <c:pt idx="1">
                  <c:v>0.4</c:v>
                </c:pt>
                <c:pt idx="2">
                  <c:v>0.81200000000000006</c:v>
                </c:pt>
                <c:pt idx="3">
                  <c:v>1.2363600000000001</c:v>
                </c:pt>
                <c:pt idx="4">
                  <c:v>1.6734508000000001</c:v>
                </c:pt>
                <c:pt idx="5">
                  <c:v>2.1236543240000003</c:v>
                </c:pt>
                <c:pt idx="6">
                  <c:v>2.5873639537200006</c:v>
                </c:pt>
                <c:pt idx="7">
                  <c:v>3.0649848723316007</c:v>
                </c:pt>
                <c:pt idx="8">
                  <c:v>3.556934418501549</c:v>
                </c:pt>
                <c:pt idx="9">
                  <c:v>4.0636424510565954</c:v>
                </c:pt>
                <c:pt idx="10">
                  <c:v>4.5855517245882931</c:v>
                </c:pt>
                <c:pt idx="11">
                  <c:v>5.1231182763259424</c:v>
                </c:pt>
                <c:pt idx="12">
                  <c:v>5.6768118246157204</c:v>
                </c:pt>
                <c:pt idx="13">
                  <c:v>6.2471161793541921</c:v>
                </c:pt>
                <c:pt idx="14">
                  <c:v>6.8345296647348182</c:v>
                </c:pt>
                <c:pt idx="15">
                  <c:v>7.4395655546768626</c:v>
                </c:pt>
                <c:pt idx="16">
                  <c:v>8.0627525213171687</c:v>
                </c:pt>
                <c:pt idx="17">
                  <c:v>8.7046350969566841</c:v>
                </c:pt>
                <c:pt idx="18">
                  <c:v>9.3657741498653841</c:v>
                </c:pt>
                <c:pt idx="19">
                  <c:v>10.046747374361345</c:v>
                </c:pt>
                <c:pt idx="20">
                  <c:v>10.748149795592186</c:v>
                </c:pt>
                <c:pt idx="21">
                  <c:v>11.470594289459951</c:v>
                </c:pt>
                <c:pt idx="22">
                  <c:v>12.214712118143749</c:v>
                </c:pt>
                <c:pt idx="23">
                  <c:v>12.981153481688063</c:v>
                </c:pt>
                <c:pt idx="24">
                  <c:v>13.770588086138705</c:v>
                </c:pt>
                <c:pt idx="25">
                  <c:v>14.583705728722867</c:v>
                </c:pt>
                <c:pt idx="26">
                  <c:v>15.421216900584554</c:v>
                </c:pt>
                <c:pt idx="27">
                  <c:v>16.283853407602091</c:v>
                </c:pt>
                <c:pt idx="28">
                  <c:v>17.172369009830156</c:v>
                </c:pt>
                <c:pt idx="29">
                  <c:v>18.087540080125063</c:v>
                </c:pt>
                <c:pt idx="30">
                  <c:v>19.030166282528814</c:v>
                </c:pt>
                <c:pt idx="31">
                  <c:v>20.00107127100468</c:v>
                </c:pt>
                <c:pt idx="32">
                  <c:v>21.001103409134821</c:v>
                </c:pt>
                <c:pt idx="33">
                  <c:v>22.031136511408867</c:v>
                </c:pt>
                <c:pt idx="34">
                  <c:v>23.092070606751133</c:v>
                </c:pt>
                <c:pt idx="35">
                  <c:v>24.184832724953665</c:v>
                </c:pt>
                <c:pt idx="36">
                  <c:v>25.310377706702276</c:v>
                </c:pt>
                <c:pt idx="37">
                  <c:v>26.469689037903343</c:v>
                </c:pt>
                <c:pt idx="38">
                  <c:v>27.663779709040444</c:v>
                </c:pt>
                <c:pt idx="39">
                  <c:v>28.893693100311658</c:v>
                </c:pt>
                <c:pt idx="40">
                  <c:v>30.16050389332101</c:v>
                </c:pt>
                <c:pt idx="41">
                  <c:v>31.465319010120641</c:v>
                </c:pt>
                <c:pt idx="42">
                  <c:v>32.809278580424262</c:v>
                </c:pt>
                <c:pt idx="43">
                  <c:v>34.193556937836988</c:v>
                </c:pt>
                <c:pt idx="44">
                  <c:v>35.619363645972101</c:v>
                </c:pt>
                <c:pt idx="45">
                  <c:v>37.087944555351264</c:v>
                </c:pt>
                <c:pt idx="46">
                  <c:v>38.600582892011801</c:v>
                </c:pt>
                <c:pt idx="47">
                  <c:v>40.158600378772157</c:v>
                </c:pt>
                <c:pt idx="48">
                  <c:v>41.763358390135323</c:v>
                </c:pt>
                <c:pt idx="49">
                  <c:v>43.416259141839383</c:v>
                </c:pt>
                <c:pt idx="50">
                  <c:v>45.118746916094565</c:v>
                </c:pt>
                <c:pt idx="51">
                  <c:v>46.872309323577404</c:v>
                </c:pt>
                <c:pt idx="52">
                  <c:v>48.678478603284731</c:v>
                </c:pt>
                <c:pt idx="53">
                  <c:v>50.538832961383271</c:v>
                </c:pt>
                <c:pt idx="54">
                  <c:v>52.454997950224772</c:v>
                </c:pt>
                <c:pt idx="55">
                  <c:v>54.428647888731518</c:v>
                </c:pt>
                <c:pt idx="56">
                  <c:v>56.461507325393463</c:v>
                </c:pt>
                <c:pt idx="57">
                  <c:v>58.555352545155266</c:v>
                </c:pt>
                <c:pt idx="58">
                  <c:v>60.712013121509926</c:v>
                </c:pt>
                <c:pt idx="59">
                  <c:v>62.933373515155225</c:v>
                </c:pt>
                <c:pt idx="60">
                  <c:v>65.221374720609887</c:v>
                </c:pt>
                <c:pt idx="61">
                  <c:v>67.578015962228179</c:v>
                </c:pt>
                <c:pt idx="62">
                  <c:v>70.005356441095032</c:v>
                </c:pt>
                <c:pt idx="63">
                  <c:v>72.505517134327889</c:v>
                </c:pt>
                <c:pt idx="64">
                  <c:v>75.080682648357723</c:v>
                </c:pt>
                <c:pt idx="65">
                  <c:v>77.733103127808448</c:v>
                </c:pt>
                <c:pt idx="66">
                  <c:v>80.465096221642696</c:v>
                </c:pt>
                <c:pt idx="67">
                  <c:v>83.279049108291986</c:v>
                </c:pt>
                <c:pt idx="68">
                  <c:v>86.177420581540744</c:v>
                </c:pt>
                <c:pt idx="69">
                  <c:v>89.162743198986973</c:v>
                </c:pt>
                <c:pt idx="70">
                  <c:v>92.237625494956589</c:v>
                </c:pt>
                <c:pt idx="71">
                  <c:v>95.404754259805287</c:v>
                </c:pt>
                <c:pt idx="72">
                  <c:v>98.666896887599449</c:v>
                </c:pt>
                <c:pt idx="73">
                  <c:v>102.02690379422744</c:v>
                </c:pt>
                <c:pt idx="74">
                  <c:v>105.48771090805425</c:v>
                </c:pt>
                <c:pt idx="75">
                  <c:v>109.05234223529588</c:v>
                </c:pt>
                <c:pt idx="76">
                  <c:v>112.72391250235476</c:v>
                </c:pt>
                <c:pt idx="77">
                  <c:v>116.50562987742541</c:v>
                </c:pt>
                <c:pt idx="78">
                  <c:v>120.40079877374816</c:v>
                </c:pt>
                <c:pt idx="79">
                  <c:v>124.41282273696061</c:v>
                </c:pt>
                <c:pt idx="80">
                  <c:v>128.54520741906941</c:v>
                </c:pt>
                <c:pt idx="81">
                  <c:v>132.80156364164151</c:v>
                </c:pt>
                <c:pt idx="82">
                  <c:v>137.18561055089074</c:v>
                </c:pt>
                <c:pt idx="83">
                  <c:v>141.70117886741747</c:v>
                </c:pt>
                <c:pt idx="84">
                  <c:v>146.35221423344001</c:v>
                </c:pt>
                <c:pt idx="85">
                  <c:v>151.14278066044321</c:v>
                </c:pt>
                <c:pt idx="86">
                  <c:v>156.07706408025652</c:v>
                </c:pt>
                <c:pt idx="87">
                  <c:v>161.15937600266423</c:v>
                </c:pt>
                <c:pt idx="88">
                  <c:v>166.39415728274417</c:v>
                </c:pt>
                <c:pt idx="89">
                  <c:v>171.7859820012265</c:v>
                </c:pt>
                <c:pt idx="90">
                  <c:v>177.33956146126329</c:v>
                </c:pt>
                <c:pt idx="91">
                  <c:v>183.05974830510118</c:v>
                </c:pt>
                <c:pt idx="92">
                  <c:v>188.95154075425421</c:v>
                </c:pt>
                <c:pt idx="93">
                  <c:v>195.02008697688183</c:v>
                </c:pt>
                <c:pt idx="94">
                  <c:v>201.2706895861883</c:v>
                </c:pt>
                <c:pt idx="95">
                  <c:v>207.70881027377396</c:v>
                </c:pt>
                <c:pt idx="96">
                  <c:v>214.34007458198718</c:v>
                </c:pt>
                <c:pt idx="97">
                  <c:v>221.1702768194468</c:v>
                </c:pt>
                <c:pt idx="98">
                  <c:v>228.20538512403022</c:v>
                </c:pt>
                <c:pt idx="99">
                  <c:v>235.45154667775114</c:v>
                </c:pt>
                <c:pt idx="100">
                  <c:v>242.91509307808369</c:v>
                </c:pt>
                <c:pt idx="101">
                  <c:v>250.60254587042621</c:v>
                </c:pt>
                <c:pt idx="102">
                  <c:v>258.52062224653901</c:v>
                </c:pt>
                <c:pt idx="103">
                  <c:v>266.6762409139352</c:v>
                </c:pt>
                <c:pt idx="104">
                  <c:v>275.07652814135326</c:v>
                </c:pt>
                <c:pt idx="105">
                  <c:v>283.72882398559386</c:v>
                </c:pt>
                <c:pt idx="106">
                  <c:v>292.64068870516166</c:v>
                </c:pt>
                <c:pt idx="107">
                  <c:v>301.81990936631649</c:v>
                </c:pt>
                <c:pt idx="108">
                  <c:v>311.274506647306</c:v>
                </c:pt>
                <c:pt idx="109">
                  <c:v>321.01274184672519</c:v>
                </c:pt>
                <c:pt idx="110">
                  <c:v>331.04312410212697</c:v>
                </c:pt>
                <c:pt idx="111">
                  <c:v>341.37441782519079</c:v>
                </c:pt>
                <c:pt idx="112">
                  <c:v>352.01565035994651</c:v>
                </c:pt>
                <c:pt idx="113">
                  <c:v>362.97611987074492</c:v>
                </c:pt>
                <c:pt idx="114">
                  <c:v>374.26540346686727</c:v>
                </c:pt>
                <c:pt idx="115">
                  <c:v>385.8933655708733</c:v>
                </c:pt>
                <c:pt idx="116">
                  <c:v>397.87016653799952</c:v>
                </c:pt>
                <c:pt idx="117">
                  <c:v>410.20627153413949</c:v>
                </c:pt>
                <c:pt idx="118">
                  <c:v>422.91245968016369</c:v>
                </c:pt>
                <c:pt idx="119">
                  <c:v>435.9998334705686</c:v>
                </c:pt>
                <c:pt idx="120">
                  <c:v>449.47982847468569</c:v>
                </c:pt>
                <c:pt idx="121">
                  <c:v>463.36422332892624</c:v>
                </c:pt>
                <c:pt idx="122">
                  <c:v>477.66515002879402</c:v>
                </c:pt>
                <c:pt idx="123">
                  <c:v>492.39510452965783</c:v>
                </c:pt>
                <c:pt idx="124">
                  <c:v>507.56695766554759</c:v>
                </c:pt>
                <c:pt idx="125">
                  <c:v>523.19396639551405</c:v>
                </c:pt>
                <c:pt idx="126">
                  <c:v>539.28978538737942</c:v>
                </c:pt>
                <c:pt idx="127">
                  <c:v>555.86847894900086</c:v>
                </c:pt>
                <c:pt idx="128">
                  <c:v>572.94453331747093</c:v>
                </c:pt>
                <c:pt idx="129">
                  <c:v>590.53286931699506</c:v>
                </c:pt>
                <c:pt idx="130">
                  <c:v>608.64885539650493</c:v>
                </c:pt>
                <c:pt idx="131">
                  <c:v>627.30832105840011</c:v>
                </c:pt>
                <c:pt idx="132">
                  <c:v>646.52757069015217</c:v>
                </c:pt>
                <c:pt idx="133">
                  <c:v>666.3233978108567</c:v>
                </c:pt>
                <c:pt idx="134">
                  <c:v>686.71309974518238</c:v>
                </c:pt>
                <c:pt idx="135">
                  <c:v>707.71449273753785</c:v>
                </c:pt>
                <c:pt idx="136">
                  <c:v>729.34592751966397</c:v>
                </c:pt>
                <c:pt idx="137">
                  <c:v>751.62630534525385</c:v>
                </c:pt>
                <c:pt idx="138">
                  <c:v>774.57509450561145</c:v>
                </c:pt>
                <c:pt idx="139">
                  <c:v>798.21234734077984</c:v>
                </c:pt>
                <c:pt idx="140">
                  <c:v>822.55871776100321</c:v>
                </c:pt>
                <c:pt idx="141">
                  <c:v>847.63547929383333</c:v>
                </c:pt>
                <c:pt idx="142">
                  <c:v>873.46454367264835</c:v>
                </c:pt>
                <c:pt idx="143">
                  <c:v>900.06847998282785</c:v>
                </c:pt>
                <c:pt idx="144">
                  <c:v>927.47053438231274</c:v>
                </c:pt>
                <c:pt idx="145">
                  <c:v>955.69465041378214</c:v>
                </c:pt>
                <c:pt idx="146">
                  <c:v>984.76548992619564</c:v>
                </c:pt>
                <c:pt idx="147">
                  <c:v>1014.7084546239815</c:v>
                </c:pt>
                <c:pt idx="148">
                  <c:v>1045.549708262701</c:v>
                </c:pt>
                <c:pt idx="149">
                  <c:v>1077.316199510582</c:v>
                </c:pt>
                <c:pt idx="150">
                  <c:v>1110.0356854958995</c:v>
                </c:pt>
                <c:pt idx="151">
                  <c:v>1143.7367560607765</c:v>
                </c:pt>
                <c:pt idx="152">
                  <c:v>1178.4488587425999</c:v>
                </c:pt>
                <c:pt idx="153">
                  <c:v>1214.2023245048779</c:v>
                </c:pt>
                <c:pt idx="154">
                  <c:v>1251.0283942400242</c:v>
                </c:pt>
                <c:pt idx="155">
                  <c:v>1288.959246067225</c:v>
                </c:pt>
                <c:pt idx="156">
                  <c:v>1328.0280234492418</c:v>
                </c:pt>
                <c:pt idx="157">
                  <c:v>1368.2688641527191</c:v>
                </c:pt>
                <c:pt idx="158">
                  <c:v>1409.7169300773007</c:v>
                </c:pt>
                <c:pt idx="159">
                  <c:v>1452.4084379796197</c:v>
                </c:pt>
                <c:pt idx="160">
                  <c:v>1496.3806911190084</c:v>
                </c:pt>
                <c:pt idx="161">
                  <c:v>1541.6721118525786</c:v>
                </c:pt>
                <c:pt idx="162">
                  <c:v>1588.322275208156</c:v>
                </c:pt>
                <c:pt idx="163">
                  <c:v>1636.3719434644008</c:v>
                </c:pt>
                <c:pt idx="164">
                  <c:v>1685.8631017683329</c:v>
                </c:pt>
                <c:pt idx="165">
                  <c:v>1736.8389948213828</c:v>
                </c:pt>
                <c:pt idx="166">
                  <c:v>1789.3441646660244</c:v>
                </c:pt>
                <c:pt idx="167">
                  <c:v>1843.4244896060052</c:v>
                </c:pt>
                <c:pt idx="168">
                  <c:v>1899.1272242941855</c:v>
                </c:pt>
                <c:pt idx="169">
                  <c:v>1956.5010410230111</c:v>
                </c:pt>
                <c:pt idx="170">
                  <c:v>2015.5960722537015</c:v>
                </c:pt>
                <c:pt idx="171">
                  <c:v>2076.4639544213128</c:v>
                </c:pt>
                <c:pt idx="172">
                  <c:v>2139.1578730539522</c:v>
                </c:pt>
                <c:pt idx="173">
                  <c:v>2203.732609245571</c:v>
                </c:pt>
                <c:pt idx="174">
                  <c:v>2270.2445875229382</c:v>
                </c:pt>
                <c:pt idx="175">
                  <c:v>2338.7519251486265</c:v>
                </c:pt>
                <c:pt idx="176">
                  <c:v>2409.3144829030853</c:v>
                </c:pt>
                <c:pt idx="177">
                  <c:v>2481.993917390178</c:v>
                </c:pt>
                <c:pt idx="178">
                  <c:v>2556.8537349118833</c:v>
                </c:pt>
                <c:pt idx="179">
                  <c:v>2633.9593469592396</c:v>
                </c:pt>
                <c:pt idx="180">
                  <c:v>2713.378127368017</c:v>
                </c:pt>
                <c:pt idx="181">
                  <c:v>2795.1794711890575</c:v>
                </c:pt>
                <c:pt idx="182">
                  <c:v>2879.4348553247291</c:v>
                </c:pt>
                <c:pt idx="183">
                  <c:v>2966.2179009844713</c:v>
                </c:pt>
                <c:pt idx="184">
                  <c:v>3055.6044380140056</c:v>
                </c:pt>
                <c:pt idx="185">
                  <c:v>3147.6725711544259</c:v>
                </c:pt>
                <c:pt idx="186">
                  <c:v>3242.5027482890587</c:v>
                </c:pt>
                <c:pt idx="187">
                  <c:v>3340.1778307377303</c:v>
                </c:pt>
                <c:pt idx="188">
                  <c:v>3440.7831656598623</c:v>
                </c:pt>
                <c:pt idx="189">
                  <c:v>3544.4066606296583</c:v>
                </c:pt>
                <c:pt idx="190">
                  <c:v>3651.1388604485483</c:v>
                </c:pt>
                <c:pt idx="191">
                  <c:v>3761.0730262620045</c:v>
                </c:pt>
                <c:pt idx="192">
                  <c:v>3874.305217049865</c:v>
                </c:pt>
                <c:pt idx="193">
                  <c:v>3990.9343735613611</c:v>
                </c:pt>
                <c:pt idx="194">
                  <c:v>4111.0624047682022</c:v>
                </c:pt>
                <c:pt idx="195">
                  <c:v>4234.7942769112487</c:v>
                </c:pt>
                <c:pt idx="196">
                  <c:v>4362.2381052185865</c:v>
                </c:pt>
                <c:pt idx="197">
                  <c:v>4493.5052483751442</c:v>
                </c:pt>
                <c:pt idx="198">
                  <c:v>4628.7104058263985</c:v>
                </c:pt>
                <c:pt idx="199">
                  <c:v>4767.9717180011903</c:v>
                </c:pt>
                <c:pt idx="200">
                  <c:v>4911.410869541226</c:v>
                </c:pt>
                <c:pt idx="201">
                  <c:v>5059.153195627463</c:v>
                </c:pt>
                <c:pt idx="202">
                  <c:v>5211.3277914962873</c:v>
                </c:pt>
                <c:pt idx="203">
                  <c:v>5368.0676252411758</c:v>
                </c:pt>
                <c:pt idx="204">
                  <c:v>5529.5096539984115</c:v>
                </c:pt>
                <c:pt idx="205">
                  <c:v>5695.7949436183635</c:v>
                </c:pt>
                <c:pt idx="206">
                  <c:v>5867.0687919269149</c:v>
                </c:pt>
                <c:pt idx="207">
                  <c:v>6043.480855684722</c:v>
                </c:pt>
                <c:pt idx="208">
                  <c:v>6225.1852813552632</c:v>
                </c:pt>
                <c:pt idx="209">
                  <c:v>6412.3408397959211</c:v>
                </c:pt>
                <c:pt idx="210">
                  <c:v>6605.1110649897992</c:v>
                </c:pt>
                <c:pt idx="211">
                  <c:v>6803.6643969394936</c:v>
                </c:pt>
                <c:pt idx="212">
                  <c:v>7008.1743288476782</c:v>
                </c:pt>
                <c:pt idx="213">
                  <c:v>7218.8195587131086</c:v>
                </c:pt>
                <c:pt idx="214">
                  <c:v>7435.7841454745021</c:v>
                </c:pt>
                <c:pt idx="215">
                  <c:v>7659.2576698387375</c:v>
                </c:pt>
                <c:pt idx="216">
                  <c:v>7889.4353999339</c:v>
                </c:pt>
                <c:pt idx="217">
                  <c:v>8126.518461931917</c:v>
                </c:pt>
                <c:pt idx="218">
                  <c:v>8370.7140157898739</c:v>
                </c:pt>
                <c:pt idx="219">
                  <c:v>8622.2354362635706</c:v>
                </c:pt>
                <c:pt idx="220">
                  <c:v>8881.3024993514773</c:v>
                </c:pt>
                <c:pt idx="221">
                  <c:v>9148.1415743320213</c:v>
                </c:pt>
                <c:pt idx="222">
                  <c:v>9422.9858215619824</c:v>
                </c:pt>
                <c:pt idx="223">
                  <c:v>9706.075396208842</c:v>
                </c:pt>
                <c:pt idx="224">
                  <c:v>9997.6576580951078</c:v>
                </c:pt>
                <c:pt idx="225">
                  <c:v>10297.98738783796</c:v>
                </c:pt>
                <c:pt idx="226">
                  <c:v>10607.3270094731</c:v>
                </c:pt>
                <c:pt idx="227">
                  <c:v>10925.946819757293</c:v>
                </c:pt>
                <c:pt idx="228">
                  <c:v>11254.125224350013</c:v>
                </c:pt>
                <c:pt idx="229">
                  <c:v>11592.148981080514</c:v>
                </c:pt>
                <c:pt idx="230">
                  <c:v>11940.313450512929</c:v>
                </c:pt>
                <c:pt idx="231">
                  <c:v>12298.922854028317</c:v>
                </c:pt>
                <c:pt idx="232">
                  <c:v>12668.290539649166</c:v>
                </c:pt>
                <c:pt idx="233">
                  <c:v>13048.739255838642</c:v>
                </c:pt>
                <c:pt idx="234">
                  <c:v>13440.601433513801</c:v>
                </c:pt>
                <c:pt idx="235">
                  <c:v>13844.219476519214</c:v>
                </c:pt>
                <c:pt idx="236">
                  <c:v>14259.946060814791</c:v>
                </c:pt>
                <c:pt idx="237">
                  <c:v>14688.144442639235</c:v>
                </c:pt>
                <c:pt idx="238">
                  <c:v>15129.188775918412</c:v>
                </c:pt>
                <c:pt idx="239">
                  <c:v>15583.464439195965</c:v>
                </c:pt>
                <c:pt idx="240">
                  <c:v>16051.368372371844</c:v>
                </c:pt>
                <c:pt idx="241">
                  <c:v>16533.309423543</c:v>
                </c:pt>
                <c:pt idx="242">
                  <c:v>17029.70870624929</c:v>
                </c:pt>
                <c:pt idx="243">
                  <c:v>17540.999967436768</c:v>
                </c:pt>
                <c:pt idx="244">
                  <c:v>18067.62996645987</c:v>
                </c:pt>
                <c:pt idx="245">
                  <c:v>18610.058865453666</c:v>
                </c:pt>
                <c:pt idx="246">
                  <c:v>19168.760631417277</c:v>
                </c:pt>
                <c:pt idx="247">
                  <c:v>19744.223450359797</c:v>
                </c:pt>
                <c:pt idx="248">
                  <c:v>20336.950153870592</c:v>
                </c:pt>
                <c:pt idx="249">
                  <c:v>20947.45865848671</c:v>
                </c:pt>
                <c:pt idx="250">
                  <c:v>21576.282418241313</c:v>
                </c:pt>
                <c:pt idx="251">
                  <c:v>22223.970890788554</c:v>
                </c:pt>
                <c:pt idx="252">
                  <c:v>22891.090017512211</c:v>
                </c:pt>
                <c:pt idx="253">
                  <c:v>23578.222718037578</c:v>
                </c:pt>
                <c:pt idx="254">
                  <c:v>24285.969399578706</c:v>
                </c:pt>
                <c:pt idx="255">
                  <c:v>25014.948481566069</c:v>
                </c:pt>
                <c:pt idx="256">
                  <c:v>25765.796936013052</c:v>
                </c:pt>
                <c:pt idx="257">
                  <c:v>26539.170844093445</c:v>
                </c:pt>
                <c:pt idx="258">
                  <c:v>27335.74596941625</c:v>
                </c:pt>
                <c:pt idx="259">
                  <c:v>28156.218348498736</c:v>
                </c:pt>
                <c:pt idx="260">
                  <c:v>29001.304898953698</c:v>
                </c:pt>
                <c:pt idx="261">
                  <c:v>29871.744045922311</c:v>
                </c:pt>
                <c:pt idx="262">
                  <c:v>30768.296367299979</c:v>
                </c:pt>
                <c:pt idx="263">
                  <c:v>31691.745258318981</c:v>
                </c:pt>
                <c:pt idx="264">
                  <c:v>32642.897616068549</c:v>
                </c:pt>
                <c:pt idx="265">
                  <c:v>33622.584544550606</c:v>
                </c:pt>
                <c:pt idx="266">
                  <c:v>34631.662080887123</c:v>
                </c:pt>
                <c:pt idx="267">
                  <c:v>35671.011943313737</c:v>
                </c:pt>
                <c:pt idx="268">
                  <c:v>36741.542301613154</c:v>
                </c:pt>
                <c:pt idx="269">
                  <c:v>37844.18857066155</c:v>
                </c:pt>
                <c:pt idx="270">
                  <c:v>38979.914227781395</c:v>
                </c:pt>
                <c:pt idx="271">
                  <c:v>40149.711654614839</c:v>
                </c:pt>
                <c:pt idx="272">
                  <c:v>41354.603004253288</c:v>
                </c:pt>
                <c:pt idx="273">
                  <c:v>42595.641094380888</c:v>
                </c:pt>
                <c:pt idx="274">
                  <c:v>43873.910327212317</c:v>
                </c:pt>
                <c:pt idx="275">
                  <c:v>45190.527637028688</c:v>
                </c:pt>
                <c:pt idx="276">
                  <c:v>46546.643466139547</c:v>
                </c:pt>
                <c:pt idx="277">
                  <c:v>47943.442770123736</c:v>
                </c:pt>
                <c:pt idx="278">
                  <c:v>49382.14605322745</c:v>
                </c:pt>
                <c:pt idx="279">
                  <c:v>50864.010434824275</c:v>
                </c:pt>
                <c:pt idx="280">
                  <c:v>52390.330747869004</c:v>
                </c:pt>
                <c:pt idx="281">
                  <c:v>53962.440670305077</c:v>
                </c:pt>
                <c:pt idx="282">
                  <c:v>55581.713890414234</c:v>
                </c:pt>
                <c:pt idx="283">
                  <c:v>57249.565307126664</c:v>
                </c:pt>
                <c:pt idx="284">
                  <c:v>58967.452266340464</c:v>
                </c:pt>
                <c:pt idx="285">
                  <c:v>60736.875834330676</c:v>
                </c:pt>
                <c:pt idx="286">
                  <c:v>62559.382109360595</c:v>
                </c:pt>
                <c:pt idx="287">
                  <c:v>64436.563572641411</c:v>
                </c:pt>
                <c:pt idx="288">
                  <c:v>66370.060479820662</c:v>
                </c:pt>
                <c:pt idx="289">
                  <c:v>68361.562294215284</c:v>
                </c:pt>
                <c:pt idx="290">
                  <c:v>70412.809163041748</c:v>
                </c:pt>
                <c:pt idx="291">
                  <c:v>72525.593437932999</c:v>
                </c:pt>
                <c:pt idx="292">
                  <c:v>74701.761241070984</c:v>
                </c:pt>
                <c:pt idx="293">
                  <c:v>76943.214078303121</c:v>
                </c:pt>
                <c:pt idx="294">
                  <c:v>79251.910500652215</c:v>
                </c:pt>
                <c:pt idx="295">
                  <c:v>81629.86781567178</c:v>
                </c:pt>
                <c:pt idx="296">
                  <c:v>84079.163850141937</c:v>
                </c:pt>
                <c:pt idx="297">
                  <c:v>86601.938765646191</c:v>
                </c:pt>
                <c:pt idx="298">
                  <c:v>89200.396928615577</c:v>
                </c:pt>
                <c:pt idx="299">
                  <c:v>91876.808836474054</c:v>
                </c:pt>
                <c:pt idx="300">
                  <c:v>94633.513101568271</c:v>
                </c:pt>
              </c:numCache>
            </c:numRef>
          </c:xVal>
          <c:yVal>
            <c:numRef>
              <c:f>'Reactor sheet'!$J$15:$J$315</c:f>
              <c:numCache>
                <c:formatCode>General</c:formatCode>
                <c:ptCount val="301"/>
                <c:pt idx="0">
                  <c:v>6.9649722802597118</c:v>
                </c:pt>
                <c:pt idx="1">
                  <c:v>7.4285417470694073</c:v>
                </c:pt>
                <c:pt idx="2">
                  <c:v>7.8825803070933587</c:v>
                </c:pt>
                <c:pt idx="3">
                  <c:v>8.327974653809191</c:v>
                </c:pt>
                <c:pt idx="4">
                  <c:v>8.7655056341887594</c:v>
                </c:pt>
                <c:pt idx="5">
                  <c:v>9.1958647142970982</c:v>
                </c:pt>
                <c:pt idx="6">
                  <c:v>9.6196673254249401</c:v>
                </c:pt>
                <c:pt idx="7">
                  <c:v>10.037463778969911</c:v>
                </c:pt>
                <c:pt idx="8">
                  <c:v>10.44974826649355</c:v>
                </c:pt>
                <c:pt idx="9">
                  <c:v>10.85696633711197</c:v>
                </c:pt>
                <c:pt idx="10">
                  <c:v>11.259521153286459</c:v>
                </c:pt>
                <c:pt idx="11">
                  <c:v>11.657778758491142</c:v>
                </c:pt>
                <c:pt idx="12">
                  <c:v>12.052072539517692</c:v>
                </c:pt>
                <c:pt idx="13">
                  <c:v>12.44270702772195</c:v>
                </c:pt>
                <c:pt idx="14">
                  <c:v>12.829961154076464</c:v>
                </c:pt>
                <c:pt idx="15">
                  <c:v>13.214091050149248</c:v>
                </c:pt>
                <c:pt idx="16">
                  <c:v>13.595332469410714</c:v>
                </c:pt>
                <c:pt idx="17">
                  <c:v>13.973902889358296</c:v>
                </c:pt>
                <c:pt idx="18">
                  <c:v>14.350003343943175</c:v>
                </c:pt>
                <c:pt idx="19">
                  <c:v>14.723820027017553</c:v>
                </c:pt>
                <c:pt idx="20">
                  <c:v>15.09552570049283</c:v>
                </c:pt>
                <c:pt idx="21">
                  <c:v>15.465280935229252</c:v>
                </c:pt>
                <c:pt idx="22">
                  <c:v>15.833235208076953</c:v>
                </c:pt>
                <c:pt idx="23">
                  <c:v>16.199527874734585</c:v>
                </c:pt>
                <c:pt idx="24">
                  <c:v>16.564289035012838</c:v>
                </c:pt>
                <c:pt idx="25">
                  <c:v>16.927640304552302</c:v>
                </c:pt>
                <c:pt idx="26">
                  <c:v>17.289695504943335</c:v>
                </c:pt>
                <c:pt idx="27">
                  <c:v>17.65056128244705</c:v>
                </c:pt>
                <c:pt idx="28">
                  <c:v>18.010337664055669</c:v>
                </c:pt>
                <c:pt idx="29">
                  <c:v>18.369118558405052</c:v>
                </c:pt>
                <c:pt idx="30">
                  <c:v>18.726992208020018</c:v>
                </c:pt>
                <c:pt idx="31">
                  <c:v>19.084041598500697</c:v>
                </c:pt>
                <c:pt idx="32">
                  <c:v>19.440344829518033</c:v>
                </c:pt>
                <c:pt idx="33">
                  <c:v>19.79597545185646</c:v>
                </c:pt>
                <c:pt idx="34">
                  <c:v>20.1510027742038</c:v>
                </c:pt>
                <c:pt idx="35">
                  <c:v>20.505492142927398</c:v>
                </c:pt>
                <c:pt idx="36">
                  <c:v>20.85950519767945</c:v>
                </c:pt>
                <c:pt idx="37">
                  <c:v>21.213100105333073</c:v>
                </c:pt>
                <c:pt idx="38">
                  <c:v>21.566331774455708</c:v>
                </c:pt>
                <c:pt idx="39">
                  <c:v>21.919252052270803</c:v>
                </c:pt>
                <c:pt idx="40">
                  <c:v>22.271909905836591</c:v>
                </c:pt>
                <c:pt idx="41">
                  <c:v>22.6243515889775</c:v>
                </c:pt>
                <c:pt idx="42">
                  <c:v>22.976620796334757</c:v>
                </c:pt>
                <c:pt idx="43">
                  <c:v>23.328758805755076</c:v>
                </c:pt>
                <c:pt idx="44">
                  <c:v>23.680804610106751</c:v>
                </c:pt>
                <c:pt idx="45">
                  <c:v>24.032795039498591</c:v>
                </c:pt>
                <c:pt idx="46">
                  <c:v>24.384764874776867</c:v>
                </c:pt>
                <c:pt idx="47">
                  <c:v>24.736746953086943</c:v>
                </c:pt>
                <c:pt idx="48">
                  <c:v>25.088772266208046</c:v>
                </c:pt>
                <c:pt idx="49">
                  <c:v>25.440870052300305</c:v>
                </c:pt>
                <c:pt idx="50">
                  <c:v>25.793067881641658</c:v>
                </c:pt>
                <c:pt idx="51">
                  <c:v>26.145391736877677</c:v>
                </c:pt>
                <c:pt idx="52">
                  <c:v>26.497866088258508</c:v>
                </c:pt>
                <c:pt idx="53">
                  <c:v>26.850513964293842</c:v>
                </c:pt>
                <c:pt idx="54">
                  <c:v>27.203357018217972</c:v>
                </c:pt>
                <c:pt idx="55">
                  <c:v>27.556415590622326</c:v>
                </c:pt>
                <c:pt idx="56">
                  <c:v>27.909708768581741</c:v>
                </c:pt>
                <c:pt idx="57">
                  <c:v>28.263254441572851</c:v>
                </c:pt>
                <c:pt idx="58">
                  <c:v>28.617069354457911</c:v>
                </c:pt>
                <c:pt idx="59">
                  <c:v>28.971169157784782</c:v>
                </c:pt>
                <c:pt idx="60">
                  <c:v>29.325568455633533</c:v>
                </c:pt>
                <c:pt idx="61">
                  <c:v>29.680280851221699</c:v>
                </c:pt>
                <c:pt idx="62">
                  <c:v>30.035318990463789</c:v>
                </c:pt>
                <c:pt idx="63">
                  <c:v>30.390694603665562</c:v>
                </c:pt>
                <c:pt idx="64">
                  <c:v>30.746418545520076</c:v>
                </c:pt>
                <c:pt idx="65">
                  <c:v>31.102500833560264</c:v>
                </c:pt>
                <c:pt idx="66">
                  <c:v>31.458950685211583</c:v>
                </c:pt>
                <c:pt idx="67">
                  <c:v>31.8157765535782</c:v>
                </c:pt>
                <c:pt idx="68">
                  <c:v>32.172986162086964</c:v>
                </c:pt>
                <c:pt idx="69">
                  <c:v>32.530586538105055</c:v>
                </c:pt>
                <c:pt idx="70">
                  <c:v>32.888584045639526</c:v>
                </c:pt>
                <c:pt idx="71">
                  <c:v>33.246984417220069</c:v>
                </c:pt>
                <c:pt idx="72">
                  <c:v>33.60579278505994</c:v>
                </c:pt>
                <c:pt idx="73">
                  <c:v>33.965013711584177</c:v>
                </c:pt>
                <c:pt idx="74">
                  <c:v>34.324651219408992</c:v>
                </c:pt>
                <c:pt idx="75">
                  <c:v>34.684708820851313</c:v>
                </c:pt>
                <c:pt idx="76">
                  <c:v>35.045189547043073</c:v>
                </c:pt>
                <c:pt idx="77">
                  <c:v>35.406095976720735</c:v>
                </c:pt>
                <c:pt idx="78">
                  <c:v>35.767430264756833</c:v>
                </c:pt>
                <c:pt idx="79">
                  <c:v>36.129194170496902</c:v>
                </c:pt>
                <c:pt idx="80">
                  <c:v>36.491389085962005</c:v>
                </c:pt>
                <c:pt idx="81">
                  <c:v>36.854016063974207</c:v>
                </c:pt>
                <c:pt idx="82">
                  <c:v>37.217075846259711</c:v>
                </c:pt>
                <c:pt idx="83">
                  <c:v>37.580568891581919</c:v>
                </c:pt>
                <c:pt idx="84">
                  <c:v>37.944495403954427</c:v>
                </c:pt>
                <c:pt idx="85">
                  <c:v>38.308855360981994</c:v>
                </c:pt>
                <c:pt idx="86">
                  <c:v>38.673648542375524</c:v>
                </c:pt>
                <c:pt idx="87">
                  <c:v>39.038874558685485</c:v>
                </c:pt>
                <c:pt idx="88">
                  <c:v>39.404532880296529</c:v>
                </c:pt>
                <c:pt idx="89">
                  <c:v>39.77062286672458</c:v>
                </c:pt>
                <c:pt idx="90">
                  <c:v>40.13714379625646</c:v>
                </c:pt>
                <c:pt idx="91">
                  <c:v>40.504094895970759</c:v>
                </c:pt>
                <c:pt idx="92">
                  <c:v>40.871475372177628</c:v>
                </c:pt>
                <c:pt idx="93">
                  <c:v>41.239284441314098</c:v>
                </c:pt>
                <c:pt idx="94">
                  <c:v>41.607521361330676</c:v>
                </c:pt>
                <c:pt idx="95">
                  <c:v>41.976185463604082</c:v>
                </c:pt>
                <c:pt idx="96">
                  <c:v>42.345276185410249</c:v>
                </c:pt>
                <c:pt idx="97">
                  <c:v>42.714793102991102</c:v>
                </c:pt>
                <c:pt idx="98">
                  <c:v>43.084735965247972</c:v>
                </c:pt>
                <c:pt idx="99">
                  <c:v>43.455104728094007</c:v>
                </c:pt>
                <c:pt idx="100">
                  <c:v>43.825899589497538</c:v>
                </c:pt>
                <c:pt idx="101">
                  <c:v>44.197121025247966</c:v>
                </c:pt>
                <c:pt idx="102">
                  <c:v>44.568769825475421</c:v>
                </c:pt>
                <c:pt idx="103">
                  <c:v>44.940847131955195</c:v>
                </c:pt>
                <c:pt idx="104">
                  <c:v>45.313354476227907</c:v>
                </c:pt>
                <c:pt idx="105">
                  <c:v>45.68629381856605</c:v>
                </c:pt>
                <c:pt idx="106">
                  <c:v>46.059667587817735</c:v>
                </c:pt>
                <c:pt idx="107">
                  <c:v>46.433478722158334</c:v>
                </c:pt>
                <c:pt idx="108">
                  <c:v>46.807730710780923</c:v>
                </c:pt>
                <c:pt idx="109">
                  <c:v>47.182427636556447</c:v>
                </c:pt>
                <c:pt idx="110">
                  <c:v>47.557574219694921</c:v>
                </c:pt>
                <c:pt idx="111">
                  <c:v>47.933175862439093</c:v>
                </c:pt>
                <c:pt idx="112">
                  <c:v>48.30923869482244</c:v>
                </c:pt>
                <c:pt idx="113">
                  <c:v>48.685769621523718</c:v>
                </c:pt>
                <c:pt idx="114">
                  <c:v>49.062776369850781</c:v>
                </c:pt>
                <c:pt idx="115">
                  <c:v>49.440267538886793</c:v>
                </c:pt>
                <c:pt idx="116">
                  <c:v>49.818252649832729</c:v>
                </c:pt>
                <c:pt idx="117">
                  <c:v>50.196742197580377</c:v>
                </c:pt>
                <c:pt idx="118">
                  <c:v>50.575747703551016</c:v>
                </c:pt>
                <c:pt idx="119">
                  <c:v>50.955281769835388</c:v>
                </c:pt>
                <c:pt idx="120">
                  <c:v>51.335358134671473</c:v>
                </c:pt>
                <c:pt idx="121">
                  <c:v>51.715991729297265</c:v>
                </c:pt>
                <c:pt idx="122">
                  <c:v>52.09719873621647</c:v>
                </c:pt>
                <c:pt idx="123">
                  <c:v>52.478996648915931</c:v>
                </c:pt>
                <c:pt idx="124">
                  <c:v>52.861404333074233</c:v>
                </c:pt>
                <c:pt idx="125">
                  <c:v>53.244442089301742</c:v>
                </c:pt>
                <c:pt idx="126">
                  <c:v>53.62813171745303</c:v>
                </c:pt>
                <c:pt idx="127">
                  <c:v>54.012496582553204</c:v>
                </c:pt>
                <c:pt idx="128">
                  <c:v>54.397561682380328</c:v>
                </c:pt>
                <c:pt idx="129">
                  <c:v>54.783353716746376</c:v>
                </c:pt>
                <c:pt idx="130">
                  <c:v>55.169901158519679</c:v>
                </c:pt>
                <c:pt idx="131">
                  <c:v>55.557234326431718</c:v>
                </c:pt>
                <c:pt idx="132">
                  <c:v>55.945385459711154</c:v>
                </c:pt>
                <c:pt idx="133">
                  <c:v>56.334388794587554</c:v>
                </c:pt>
                <c:pt idx="134">
                  <c:v>56.72428064270661</c:v>
                </c:pt>
                <c:pt idx="135">
                  <c:v>57.115099471497608</c:v>
                </c:pt>
                <c:pt idx="136">
                  <c:v>57.506885986532382</c:v>
                </c:pt>
                <c:pt idx="137">
                  <c:v>57.899683215913072</c:v>
                </c:pt>
                <c:pt idx="138">
                  <c:v>58.293536596723413</c:v>
                </c:pt>
                <c:pt idx="139">
                  <c:v>58.688494063575021</c:v>
                </c:pt>
                <c:pt idx="140">
                  <c:v>59.084606139276275</c:v>
                </c:pt>
                <c:pt idx="141">
                  <c:v>59.481926027646416</c:v>
                </c:pt>
                <c:pt idx="142">
                  <c:v>59.880509708491815</c:v>
                </c:pt>
                <c:pt idx="143">
                  <c:v>60.280416034754346</c:v>
                </c:pt>
                <c:pt idx="144">
                  <c:v>60.681706831833701</c:v>
                </c:pt>
                <c:pt idx="145">
                  <c:v>61.084446999075972</c:v>
                </c:pt>
                <c:pt idx="146">
                  <c:v>61.488704613409766</c:v>
                </c:pt>
                <c:pt idx="147">
                  <c:v>61.894551035098317</c:v>
                </c:pt>
                <c:pt idx="148">
                  <c:v>62.302061015561442</c:v>
                </c:pt>
                <c:pt idx="149">
                  <c:v>62.7113128072045</c:v>
                </c:pt>
                <c:pt idx="150">
                  <c:v>63.122388275172312</c:v>
                </c:pt>
                <c:pt idx="151">
                  <c:v>63.535373010924708</c:v>
                </c:pt>
                <c:pt idx="152">
                  <c:v>63.950356447505875</c:v>
                </c:pt>
                <c:pt idx="153">
                  <c:v>64.367431976352563</c:v>
                </c:pt>
                <c:pt idx="154">
                  <c:v>64.786697065455684</c:v>
                </c:pt>
                <c:pt idx="155">
                  <c:v>65.208253378656025</c:v>
                </c:pt>
                <c:pt idx="156">
                  <c:v>65.632206895816907</c:v>
                </c:pt>
                <c:pt idx="157">
                  <c:v>66.058668033575358</c:v>
                </c:pt>
                <c:pt idx="158">
                  <c:v>66.487751766327193</c:v>
                </c:pt>
                <c:pt idx="159">
                  <c:v>66.919577747051463</c:v>
                </c:pt>
                <c:pt idx="160">
                  <c:v>67.354270427524568</c:v>
                </c:pt>
                <c:pt idx="161">
                  <c:v>67.791959177414768</c:v>
                </c:pt>
                <c:pt idx="162">
                  <c:v>68.23277840168295</c:v>
                </c:pt>
                <c:pt idx="163">
                  <c:v>68.676867655645893</c:v>
                </c:pt>
                <c:pt idx="164">
                  <c:v>69.124371756983052</c:v>
                </c:pt>
                <c:pt idx="165">
                  <c:v>69.575440893888072</c:v>
                </c:pt>
                <c:pt idx="166">
                  <c:v>70.030230728481015</c:v>
                </c:pt>
                <c:pt idx="167">
                  <c:v>70.488902494507613</c:v>
                </c:pt>
                <c:pt idx="168">
                  <c:v>70.951623088257364</c:v>
                </c:pt>
                <c:pt idx="169">
                  <c:v>71.418565151534338</c:v>
                </c:pt>
                <c:pt idx="170">
                  <c:v>71.889907145412906</c:v>
                </c:pt>
                <c:pt idx="171">
                  <c:v>72.365833413406477</c:v>
                </c:pt>
                <c:pt idx="172">
                  <c:v>72.846534232572239</c:v>
                </c:pt>
                <c:pt idx="173">
                  <c:v>73.332205850969032</c:v>
                </c:pt>
                <c:pt idx="174">
                  <c:v>73.823050509781297</c:v>
                </c:pt>
                <c:pt idx="175">
                  <c:v>74.319276448321148</c:v>
                </c:pt>
                <c:pt idx="176">
                  <c:v>74.821097890024433</c:v>
                </c:pt>
                <c:pt idx="177">
                  <c:v>75.328735007468765</c:v>
                </c:pt>
                <c:pt idx="178">
                  <c:v>75.842413864363152</c:v>
                </c:pt>
                <c:pt idx="179">
                  <c:v>76.36236633239433</c:v>
                </c:pt>
                <c:pt idx="180">
                  <c:v>76.888829980766502</c:v>
                </c:pt>
                <c:pt idx="181">
                  <c:v>77.422047936243047</c:v>
                </c:pt>
                <c:pt idx="182">
                  <c:v>77.962268711494147</c:v>
                </c:pt>
                <c:pt idx="183">
                  <c:v>78.509745999577405</c:v>
                </c:pt>
                <c:pt idx="184">
                  <c:v>79.064738432433586</c:v>
                </c:pt>
                <c:pt idx="185">
                  <c:v>79.627509301369642</c:v>
                </c:pt>
                <c:pt idx="186">
                  <c:v>80.198326237631647</c:v>
                </c:pt>
                <c:pt idx="187">
                  <c:v>80.777460851343108</c:v>
                </c:pt>
                <c:pt idx="188">
                  <c:v>81.365188327303784</c:v>
                </c:pt>
                <c:pt idx="189">
                  <c:v>81.961786976412952</c:v>
                </c:pt>
                <c:pt idx="190">
                  <c:v>82.567537741800422</c:v>
                </c:pt>
                <c:pt idx="191">
                  <c:v>83.182723659120171</c:v>
                </c:pt>
                <c:pt idx="192">
                  <c:v>83.807629270884647</c:v>
                </c:pt>
                <c:pt idx="193">
                  <c:v>84.442539995190472</c:v>
                </c:pt>
                <c:pt idx="194">
                  <c:v>85.087741449706584</c:v>
                </c:pt>
                <c:pt idx="195">
                  <c:v>85.74351873235689</c:v>
                </c:pt>
                <c:pt idx="196">
                  <c:v>86.410155660726829</c:v>
                </c:pt>
                <c:pt idx="197">
                  <c:v>87.087933972845661</c:v>
                </c:pt>
                <c:pt idx="198">
                  <c:v>87.777132492635801</c:v>
                </c:pt>
                <c:pt idx="199">
                  <c:v>88.478026263962022</c:v>
                </c:pt>
                <c:pt idx="200">
                  <c:v>89.190885657845186</c:v>
                </c:pt>
                <c:pt idx="201">
                  <c:v>89.915975458009811</c:v>
                </c:pt>
                <c:pt idx="202">
                  <c:v>90.653553930496955</c:v>
                </c:pt>
                <c:pt idx="203">
                  <c:v>91.403871883575974</c:v>
                </c:pt>
                <c:pt idx="204">
                  <c:v>92.167171724613524</c:v>
                </c:pt>
                <c:pt idx="205">
                  <c:v>92.943686520889429</c:v>
                </c:pt>
                <c:pt idx="206">
                  <c:v>93.733639071571858</c:v>
                </c:pt>
                <c:pt idx="207">
                  <c:v>94.537240998165032</c:v>
                </c:pt>
                <c:pt idx="208">
                  <c:v>95.354691860711839</c:v>
                </c:pt>
                <c:pt idx="209">
                  <c:v>96.186178306864477</c:v>
                </c:pt>
                <c:pt idx="210">
                  <c:v>97.031873260625602</c:v>
                </c:pt>
                <c:pt idx="211">
                  <c:v>97.891935157112812</c:v>
                </c:pt>
                <c:pt idx="212">
                  <c:v>98.766507229117039</c:v>
                </c:pt>
                <c:pt idx="213">
                  <c:v>99.655716850522225</c:v>
                </c:pt>
                <c:pt idx="214">
                  <c:v>100.55967494084567</c:v>
                </c:pt>
                <c:pt idx="215">
                  <c:v>101.47847543426619</c:v>
                </c:pt>
                <c:pt idx="216">
                  <c:v>102.41219481555478</c:v>
                </c:pt>
                <c:pt idx="217">
                  <c:v>103.36089172433675</c:v>
                </c:pt>
                <c:pt idx="218">
                  <c:v>104.32460662812369</c:v>
                </c:pt>
                <c:pt idx="219">
                  <c:v>105.30336156358752</c:v>
                </c:pt>
                <c:pt idx="220">
                  <c:v>106.29715994463511</c:v>
                </c:pt>
                <c:pt idx="221">
                  <c:v>107.30598643500754</c:v>
                </c:pt>
                <c:pt idx="222">
                  <c:v>108.3298068823953</c:v>
                </c:pt>
                <c:pt idx="223">
                  <c:v>109.36856831044996</c:v>
                </c:pt>
                <c:pt idx="224">
                  <c:v>110.42219896459611</c:v>
                </c:pt>
                <c:pt idx="225">
                  <c:v>111.49060840721488</c:v>
                </c:pt>
                <c:pt idx="226">
                  <c:v>112.57368765758288</c:v>
                </c:pt>
                <c:pt idx="227">
                  <c:v>113.67130937190537</c:v>
                </c:pt>
                <c:pt idx="228">
                  <c:v>114.78332805887011</c:v>
                </c:pt>
                <c:pt idx="229">
                  <c:v>115.90958032635471</c:v>
                </c:pt>
                <c:pt idx="230">
                  <c:v>117.0498851552267</c:v>
                </c:pt>
                <c:pt idx="231">
                  <c:v>118.20404419656086</c:v>
                </c:pt>
                <c:pt idx="232">
                  <c:v>119.37184208903876</c:v>
                </c:pt>
                <c:pt idx="233">
                  <c:v>120.55304679376702</c:v>
                </c:pt>
                <c:pt idx="234">
                  <c:v>121.7474099442294</c:v>
                </c:pt>
                <c:pt idx="235">
                  <c:v>122.95466720955231</c:v>
                </c:pt>
                <c:pt idx="236">
                  <c:v>124.17453866969265</c:v>
                </c:pt>
                <c:pt idx="237">
                  <c:v>125.40672920153663</c:v>
                </c:pt>
                <c:pt idx="238">
                  <c:v>126.65092887521469</c:v>
                </c:pt>
                <c:pt idx="239">
                  <c:v>127.90681336018397</c:v>
                </c:pt>
                <c:pt idx="240">
                  <c:v>129.1740443408016</c:v>
                </c:pt>
                <c:pt idx="241">
                  <c:v>130.45226994120981</c:v>
                </c:pt>
                <c:pt idx="242">
                  <c:v>131.74112515938231</c:v>
                </c:pt>
                <c:pt idx="243">
                  <c:v>133.04023231014654</c:v>
                </c:pt>
                <c:pt idx="244">
                  <c:v>134.34920147690906</c:v>
                </c:pt>
                <c:pt idx="245">
                  <c:v>135.66763097168234</c:v>
                </c:pt>
                <c:pt idx="246">
                  <c:v>136.99510780285252</c:v>
                </c:pt>
                <c:pt idx="247">
                  <c:v>138.33120814995209</c:v>
                </c:pt>
                <c:pt idx="248">
                  <c:v>139.67549784452157</c:v>
                </c:pt>
                <c:pt idx="249">
                  <c:v>141.02753285596825</c:v>
                </c:pt>
                <c:pt idx="250">
                  <c:v>142.38685978117161</c:v>
                </c:pt>
                <c:pt idx="251">
                  <c:v>143.75301633644727</c:v>
                </c:pt>
                <c:pt idx="252">
                  <c:v>145.12553185037291</c:v>
                </c:pt>
                <c:pt idx="253">
                  <c:v>146.50392775590393</c:v>
                </c:pt>
                <c:pt idx="254">
                  <c:v>147.88771808016384</c:v>
                </c:pt>
                <c:pt idx="255">
                  <c:v>149.27640993028754</c:v>
                </c:pt>
                <c:pt idx="256">
                  <c:v>150.66950397372193</c:v>
                </c:pt>
                <c:pt idx="257">
                  <c:v>152.0664949114456</c:v>
                </c:pt>
                <c:pt idx="258">
                  <c:v>153.46687194265638</c:v>
                </c:pt>
                <c:pt idx="259">
                  <c:v>154.87011921958708</c:v>
                </c:pt>
                <c:pt idx="260">
                  <c:v>156.27571629124279</c:v>
                </c:pt>
                <c:pt idx="261">
                  <c:v>157.6831385350047</c:v>
                </c:pt>
                <c:pt idx="262">
                  <c:v>159.09185757520987</c:v>
                </c:pt>
                <c:pt idx="263">
                  <c:v>160.50134168799306</c:v>
                </c:pt>
                <c:pt idx="264">
                  <c:v>161.91105619185933</c:v>
                </c:pt>
                <c:pt idx="265">
                  <c:v>163.32046382364433</c:v>
                </c:pt>
                <c:pt idx="266">
                  <c:v>164.72902509970871</c:v>
                </c:pt>
                <c:pt idx="267">
                  <c:v>166.13619866240319</c:v>
                </c:pt>
                <c:pt idx="268">
                  <c:v>167.54144161202814</c:v>
                </c:pt>
                <c:pt idx="269">
                  <c:v>168.94420982469518</c:v>
                </c:pt>
                <c:pt idx="270">
                  <c:v>170.34395825667764</c:v>
                </c:pt>
                <c:pt idx="271">
                  <c:v>171.7401412360089</c:v>
                </c:pt>
                <c:pt idx="272">
                  <c:v>173.1322127422535</c:v>
                </c:pt>
                <c:pt idx="273">
                  <c:v>174.51962667553371</c:v>
                </c:pt>
                <c:pt idx="274">
                  <c:v>175.90183711604328</c:v>
                </c:pt>
                <c:pt idx="275">
                  <c:v>177.27829857542159</c:v>
                </c:pt>
                <c:pt idx="276">
                  <c:v>178.64846624149195</c:v>
                </c:pt>
                <c:pt idx="277">
                  <c:v>180.01179621799116</c:v>
                </c:pt>
                <c:pt idx="278">
                  <c:v>181.36774576102962</c:v>
                </c:pt>
                <c:pt idx="279">
                  <c:v>182.71577351412506</c:v>
                </c:pt>
                <c:pt idx="280">
                  <c:v>184.05533974374725</c:v>
                </c:pt>
                <c:pt idx="281">
                  <c:v>185.38590657739519</c:v>
                </c:pt>
                <c:pt idx="282">
                  <c:v>186.70693824630391</c:v>
                </c:pt>
                <c:pt idx="283">
                  <c:v>188.01790133494382</c:v>
                </c:pt>
                <c:pt idx="284">
                  <c:v>189.31826503953164</c:v>
                </c:pt>
                <c:pt idx="285">
                  <c:v>190.60750143781931</c:v>
                </c:pt>
                <c:pt idx="286">
                  <c:v>191.88508577246424</c:v>
                </c:pt>
                <c:pt idx="287">
                  <c:v>193.15049675031185</c:v>
                </c:pt>
                <c:pt idx="288">
                  <c:v>194.40321685993831</c:v>
                </c:pt>
                <c:pt idx="289">
                  <c:v>195.64273270980803</c:v>
                </c:pt>
                <c:pt idx="290">
                  <c:v>196.8685353893955</c:v>
                </c:pt>
                <c:pt idx="291">
                  <c:v>198.08012085560415</c:v>
                </c:pt>
                <c:pt idx="292">
                  <c:v>199.27699034678494</c:v>
                </c:pt>
                <c:pt idx="293">
                  <c:v>200.45865082661356</c:v>
                </c:pt>
                <c:pt idx="294">
                  <c:v>201.62461546002527</c:v>
                </c:pt>
                <c:pt idx="295">
                  <c:v>202.77440412333041</c:v>
                </c:pt>
                <c:pt idx="296">
                  <c:v>203.90754395053872</c:v>
                </c:pt>
                <c:pt idx="297">
                  <c:v>205.02356991780485</c:v>
                </c:pt>
                <c:pt idx="298">
                  <c:v>206.12202546776967</c:v>
                </c:pt>
                <c:pt idx="299">
                  <c:v>207.20246317540938</c:v>
                </c:pt>
                <c:pt idx="300">
                  <c:v>208.26444545681298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B4B-0242-8B3A-FFC41A235CFB}"/>
            </c:ext>
          </c:extLst>
        </c:ser>
        <c:ser>
          <c:idx val="0"/>
          <c:order val="1"/>
          <c:tx>
            <c:v>CO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'Reactor sheet'!$D$15:$D$315</c:f>
              <c:numCache>
                <c:formatCode>General</c:formatCode>
                <c:ptCount val="301"/>
                <c:pt idx="0">
                  <c:v>0</c:v>
                </c:pt>
                <c:pt idx="1">
                  <c:v>0.4</c:v>
                </c:pt>
                <c:pt idx="2">
                  <c:v>0.81200000000000006</c:v>
                </c:pt>
                <c:pt idx="3">
                  <c:v>1.2363600000000001</c:v>
                </c:pt>
                <c:pt idx="4">
                  <c:v>1.6734508000000001</c:v>
                </c:pt>
                <c:pt idx="5">
                  <c:v>2.1236543240000003</c:v>
                </c:pt>
                <c:pt idx="6">
                  <c:v>2.5873639537200006</c:v>
                </c:pt>
                <c:pt idx="7">
                  <c:v>3.0649848723316007</c:v>
                </c:pt>
                <c:pt idx="8">
                  <c:v>3.556934418501549</c:v>
                </c:pt>
                <c:pt idx="9">
                  <c:v>4.0636424510565954</c:v>
                </c:pt>
                <c:pt idx="10">
                  <c:v>4.5855517245882931</c:v>
                </c:pt>
                <c:pt idx="11">
                  <c:v>5.1231182763259424</c:v>
                </c:pt>
                <c:pt idx="12">
                  <c:v>5.6768118246157204</c:v>
                </c:pt>
                <c:pt idx="13">
                  <c:v>6.2471161793541921</c:v>
                </c:pt>
                <c:pt idx="14">
                  <c:v>6.8345296647348182</c:v>
                </c:pt>
                <c:pt idx="15">
                  <c:v>7.4395655546768626</c:v>
                </c:pt>
                <c:pt idx="16">
                  <c:v>8.0627525213171687</c:v>
                </c:pt>
                <c:pt idx="17">
                  <c:v>8.7046350969566841</c:v>
                </c:pt>
                <c:pt idx="18">
                  <c:v>9.3657741498653841</c:v>
                </c:pt>
                <c:pt idx="19">
                  <c:v>10.046747374361345</c:v>
                </c:pt>
                <c:pt idx="20">
                  <c:v>10.748149795592186</c:v>
                </c:pt>
                <c:pt idx="21">
                  <c:v>11.470594289459951</c:v>
                </c:pt>
                <c:pt idx="22">
                  <c:v>12.214712118143749</c:v>
                </c:pt>
                <c:pt idx="23">
                  <c:v>12.981153481688063</c:v>
                </c:pt>
                <c:pt idx="24">
                  <c:v>13.770588086138705</c:v>
                </c:pt>
                <c:pt idx="25">
                  <c:v>14.583705728722867</c:v>
                </c:pt>
                <c:pt idx="26">
                  <c:v>15.421216900584554</c:v>
                </c:pt>
                <c:pt idx="27">
                  <c:v>16.283853407602091</c:v>
                </c:pt>
                <c:pt idx="28">
                  <c:v>17.172369009830156</c:v>
                </c:pt>
                <c:pt idx="29">
                  <c:v>18.087540080125063</c:v>
                </c:pt>
                <c:pt idx="30">
                  <c:v>19.030166282528814</c:v>
                </c:pt>
                <c:pt idx="31">
                  <c:v>20.00107127100468</c:v>
                </c:pt>
                <c:pt idx="32">
                  <c:v>21.001103409134821</c:v>
                </c:pt>
                <c:pt idx="33">
                  <c:v>22.031136511408867</c:v>
                </c:pt>
                <c:pt idx="34">
                  <c:v>23.092070606751133</c:v>
                </c:pt>
                <c:pt idx="35">
                  <c:v>24.184832724953665</c:v>
                </c:pt>
                <c:pt idx="36">
                  <c:v>25.310377706702276</c:v>
                </c:pt>
                <c:pt idx="37">
                  <c:v>26.469689037903343</c:v>
                </c:pt>
                <c:pt idx="38">
                  <c:v>27.663779709040444</c:v>
                </c:pt>
                <c:pt idx="39">
                  <c:v>28.893693100311658</c:v>
                </c:pt>
                <c:pt idx="40">
                  <c:v>30.16050389332101</c:v>
                </c:pt>
                <c:pt idx="41">
                  <c:v>31.465319010120641</c:v>
                </c:pt>
                <c:pt idx="42">
                  <c:v>32.809278580424262</c:v>
                </c:pt>
                <c:pt idx="43">
                  <c:v>34.193556937836988</c:v>
                </c:pt>
                <c:pt idx="44">
                  <c:v>35.619363645972101</c:v>
                </c:pt>
                <c:pt idx="45">
                  <c:v>37.087944555351264</c:v>
                </c:pt>
                <c:pt idx="46">
                  <c:v>38.600582892011801</c:v>
                </c:pt>
                <c:pt idx="47">
                  <c:v>40.158600378772157</c:v>
                </c:pt>
                <c:pt idx="48">
                  <c:v>41.763358390135323</c:v>
                </c:pt>
                <c:pt idx="49">
                  <c:v>43.416259141839383</c:v>
                </c:pt>
                <c:pt idx="50">
                  <c:v>45.118746916094565</c:v>
                </c:pt>
                <c:pt idx="51">
                  <c:v>46.872309323577404</c:v>
                </c:pt>
                <c:pt idx="52">
                  <c:v>48.678478603284731</c:v>
                </c:pt>
                <c:pt idx="53">
                  <c:v>50.538832961383271</c:v>
                </c:pt>
                <c:pt idx="54">
                  <c:v>52.454997950224772</c:v>
                </c:pt>
                <c:pt idx="55">
                  <c:v>54.428647888731518</c:v>
                </c:pt>
                <c:pt idx="56">
                  <c:v>56.461507325393463</c:v>
                </c:pt>
                <c:pt idx="57">
                  <c:v>58.555352545155266</c:v>
                </c:pt>
                <c:pt idx="58">
                  <c:v>60.712013121509926</c:v>
                </c:pt>
                <c:pt idx="59">
                  <c:v>62.933373515155225</c:v>
                </c:pt>
                <c:pt idx="60">
                  <c:v>65.221374720609887</c:v>
                </c:pt>
                <c:pt idx="61">
                  <c:v>67.578015962228179</c:v>
                </c:pt>
                <c:pt idx="62">
                  <c:v>70.005356441095032</c:v>
                </c:pt>
                <c:pt idx="63">
                  <c:v>72.505517134327889</c:v>
                </c:pt>
                <c:pt idx="64">
                  <c:v>75.080682648357723</c:v>
                </c:pt>
                <c:pt idx="65">
                  <c:v>77.733103127808448</c:v>
                </c:pt>
                <c:pt idx="66">
                  <c:v>80.465096221642696</c:v>
                </c:pt>
                <c:pt idx="67">
                  <c:v>83.279049108291986</c:v>
                </c:pt>
                <c:pt idx="68">
                  <c:v>86.177420581540744</c:v>
                </c:pt>
                <c:pt idx="69">
                  <c:v>89.162743198986973</c:v>
                </c:pt>
                <c:pt idx="70">
                  <c:v>92.237625494956589</c:v>
                </c:pt>
                <c:pt idx="71">
                  <c:v>95.404754259805287</c:v>
                </c:pt>
                <c:pt idx="72">
                  <c:v>98.666896887599449</c:v>
                </c:pt>
                <c:pt idx="73">
                  <c:v>102.02690379422744</c:v>
                </c:pt>
                <c:pt idx="74">
                  <c:v>105.48771090805425</c:v>
                </c:pt>
                <c:pt idx="75">
                  <c:v>109.05234223529588</c:v>
                </c:pt>
                <c:pt idx="76">
                  <c:v>112.72391250235476</c:v>
                </c:pt>
                <c:pt idx="77">
                  <c:v>116.50562987742541</c:v>
                </c:pt>
                <c:pt idx="78">
                  <c:v>120.40079877374816</c:v>
                </c:pt>
                <c:pt idx="79">
                  <c:v>124.41282273696061</c:v>
                </c:pt>
                <c:pt idx="80">
                  <c:v>128.54520741906941</c:v>
                </c:pt>
                <c:pt idx="81">
                  <c:v>132.80156364164151</c:v>
                </c:pt>
                <c:pt idx="82">
                  <c:v>137.18561055089074</c:v>
                </c:pt>
                <c:pt idx="83">
                  <c:v>141.70117886741747</c:v>
                </c:pt>
                <c:pt idx="84">
                  <c:v>146.35221423344001</c:v>
                </c:pt>
                <c:pt idx="85">
                  <c:v>151.14278066044321</c:v>
                </c:pt>
                <c:pt idx="86">
                  <c:v>156.07706408025652</c:v>
                </c:pt>
                <c:pt idx="87">
                  <c:v>161.15937600266423</c:v>
                </c:pt>
                <c:pt idx="88">
                  <c:v>166.39415728274417</c:v>
                </c:pt>
                <c:pt idx="89">
                  <c:v>171.7859820012265</c:v>
                </c:pt>
                <c:pt idx="90">
                  <c:v>177.33956146126329</c:v>
                </c:pt>
                <c:pt idx="91">
                  <c:v>183.05974830510118</c:v>
                </c:pt>
                <c:pt idx="92">
                  <c:v>188.95154075425421</c:v>
                </c:pt>
                <c:pt idx="93">
                  <c:v>195.02008697688183</c:v>
                </c:pt>
                <c:pt idx="94">
                  <c:v>201.2706895861883</c:v>
                </c:pt>
                <c:pt idx="95">
                  <c:v>207.70881027377396</c:v>
                </c:pt>
                <c:pt idx="96">
                  <c:v>214.34007458198718</c:v>
                </c:pt>
                <c:pt idx="97">
                  <c:v>221.1702768194468</c:v>
                </c:pt>
                <c:pt idx="98">
                  <c:v>228.20538512403022</c:v>
                </c:pt>
                <c:pt idx="99">
                  <c:v>235.45154667775114</c:v>
                </c:pt>
                <c:pt idx="100">
                  <c:v>242.91509307808369</c:v>
                </c:pt>
                <c:pt idx="101">
                  <c:v>250.60254587042621</c:v>
                </c:pt>
                <c:pt idx="102">
                  <c:v>258.52062224653901</c:v>
                </c:pt>
                <c:pt idx="103">
                  <c:v>266.6762409139352</c:v>
                </c:pt>
                <c:pt idx="104">
                  <c:v>275.07652814135326</c:v>
                </c:pt>
                <c:pt idx="105">
                  <c:v>283.72882398559386</c:v>
                </c:pt>
                <c:pt idx="106">
                  <c:v>292.64068870516166</c:v>
                </c:pt>
                <c:pt idx="107">
                  <c:v>301.81990936631649</c:v>
                </c:pt>
                <c:pt idx="108">
                  <c:v>311.274506647306</c:v>
                </c:pt>
                <c:pt idx="109">
                  <c:v>321.01274184672519</c:v>
                </c:pt>
                <c:pt idx="110">
                  <c:v>331.04312410212697</c:v>
                </c:pt>
                <c:pt idx="111">
                  <c:v>341.37441782519079</c:v>
                </c:pt>
                <c:pt idx="112">
                  <c:v>352.01565035994651</c:v>
                </c:pt>
                <c:pt idx="113">
                  <c:v>362.97611987074492</c:v>
                </c:pt>
                <c:pt idx="114">
                  <c:v>374.26540346686727</c:v>
                </c:pt>
                <c:pt idx="115">
                  <c:v>385.8933655708733</c:v>
                </c:pt>
                <c:pt idx="116">
                  <c:v>397.87016653799952</c:v>
                </c:pt>
                <c:pt idx="117">
                  <c:v>410.20627153413949</c:v>
                </c:pt>
                <c:pt idx="118">
                  <c:v>422.91245968016369</c:v>
                </c:pt>
                <c:pt idx="119">
                  <c:v>435.9998334705686</c:v>
                </c:pt>
                <c:pt idx="120">
                  <c:v>449.47982847468569</c:v>
                </c:pt>
                <c:pt idx="121">
                  <c:v>463.36422332892624</c:v>
                </c:pt>
                <c:pt idx="122">
                  <c:v>477.66515002879402</c:v>
                </c:pt>
                <c:pt idx="123">
                  <c:v>492.39510452965783</c:v>
                </c:pt>
                <c:pt idx="124">
                  <c:v>507.56695766554759</c:v>
                </c:pt>
                <c:pt idx="125">
                  <c:v>523.19396639551405</c:v>
                </c:pt>
                <c:pt idx="126">
                  <c:v>539.28978538737942</c:v>
                </c:pt>
                <c:pt idx="127">
                  <c:v>555.86847894900086</c:v>
                </c:pt>
                <c:pt idx="128">
                  <c:v>572.94453331747093</c:v>
                </c:pt>
                <c:pt idx="129">
                  <c:v>590.53286931699506</c:v>
                </c:pt>
                <c:pt idx="130">
                  <c:v>608.64885539650493</c:v>
                </c:pt>
                <c:pt idx="131">
                  <c:v>627.30832105840011</c:v>
                </c:pt>
                <c:pt idx="132">
                  <c:v>646.52757069015217</c:v>
                </c:pt>
                <c:pt idx="133">
                  <c:v>666.3233978108567</c:v>
                </c:pt>
                <c:pt idx="134">
                  <c:v>686.71309974518238</c:v>
                </c:pt>
                <c:pt idx="135">
                  <c:v>707.71449273753785</c:v>
                </c:pt>
                <c:pt idx="136">
                  <c:v>729.34592751966397</c:v>
                </c:pt>
                <c:pt idx="137">
                  <c:v>751.62630534525385</c:v>
                </c:pt>
                <c:pt idx="138">
                  <c:v>774.57509450561145</c:v>
                </c:pt>
                <c:pt idx="139">
                  <c:v>798.21234734077984</c:v>
                </c:pt>
                <c:pt idx="140">
                  <c:v>822.55871776100321</c:v>
                </c:pt>
                <c:pt idx="141">
                  <c:v>847.63547929383333</c:v>
                </c:pt>
                <c:pt idx="142">
                  <c:v>873.46454367264835</c:v>
                </c:pt>
                <c:pt idx="143">
                  <c:v>900.06847998282785</c:v>
                </c:pt>
                <c:pt idx="144">
                  <c:v>927.47053438231274</c:v>
                </c:pt>
                <c:pt idx="145">
                  <c:v>955.69465041378214</c:v>
                </c:pt>
                <c:pt idx="146">
                  <c:v>984.76548992619564</c:v>
                </c:pt>
                <c:pt idx="147">
                  <c:v>1014.7084546239815</c:v>
                </c:pt>
                <c:pt idx="148">
                  <c:v>1045.549708262701</c:v>
                </c:pt>
                <c:pt idx="149">
                  <c:v>1077.316199510582</c:v>
                </c:pt>
                <c:pt idx="150">
                  <c:v>1110.0356854958995</c:v>
                </c:pt>
                <c:pt idx="151">
                  <c:v>1143.7367560607765</c:v>
                </c:pt>
                <c:pt idx="152">
                  <c:v>1178.4488587425999</c:v>
                </c:pt>
                <c:pt idx="153">
                  <c:v>1214.2023245048779</c:v>
                </c:pt>
                <c:pt idx="154">
                  <c:v>1251.0283942400242</c:v>
                </c:pt>
                <c:pt idx="155">
                  <c:v>1288.959246067225</c:v>
                </c:pt>
                <c:pt idx="156">
                  <c:v>1328.0280234492418</c:v>
                </c:pt>
                <c:pt idx="157">
                  <c:v>1368.2688641527191</c:v>
                </c:pt>
                <c:pt idx="158">
                  <c:v>1409.7169300773007</c:v>
                </c:pt>
                <c:pt idx="159">
                  <c:v>1452.4084379796197</c:v>
                </c:pt>
                <c:pt idx="160">
                  <c:v>1496.3806911190084</c:v>
                </c:pt>
                <c:pt idx="161">
                  <c:v>1541.6721118525786</c:v>
                </c:pt>
                <c:pt idx="162">
                  <c:v>1588.322275208156</c:v>
                </c:pt>
                <c:pt idx="163">
                  <c:v>1636.3719434644008</c:v>
                </c:pt>
                <c:pt idx="164">
                  <c:v>1685.8631017683329</c:v>
                </c:pt>
                <c:pt idx="165">
                  <c:v>1736.8389948213828</c:v>
                </c:pt>
                <c:pt idx="166">
                  <c:v>1789.3441646660244</c:v>
                </c:pt>
                <c:pt idx="167">
                  <c:v>1843.4244896060052</c:v>
                </c:pt>
                <c:pt idx="168">
                  <c:v>1899.1272242941855</c:v>
                </c:pt>
                <c:pt idx="169">
                  <c:v>1956.5010410230111</c:v>
                </c:pt>
                <c:pt idx="170">
                  <c:v>2015.5960722537015</c:v>
                </c:pt>
                <c:pt idx="171">
                  <c:v>2076.4639544213128</c:v>
                </c:pt>
                <c:pt idx="172">
                  <c:v>2139.1578730539522</c:v>
                </c:pt>
                <c:pt idx="173">
                  <c:v>2203.732609245571</c:v>
                </c:pt>
                <c:pt idx="174">
                  <c:v>2270.2445875229382</c:v>
                </c:pt>
                <c:pt idx="175">
                  <c:v>2338.7519251486265</c:v>
                </c:pt>
                <c:pt idx="176">
                  <c:v>2409.3144829030853</c:v>
                </c:pt>
                <c:pt idx="177">
                  <c:v>2481.993917390178</c:v>
                </c:pt>
                <c:pt idx="178">
                  <c:v>2556.8537349118833</c:v>
                </c:pt>
                <c:pt idx="179">
                  <c:v>2633.9593469592396</c:v>
                </c:pt>
                <c:pt idx="180">
                  <c:v>2713.378127368017</c:v>
                </c:pt>
                <c:pt idx="181">
                  <c:v>2795.1794711890575</c:v>
                </c:pt>
                <c:pt idx="182">
                  <c:v>2879.4348553247291</c:v>
                </c:pt>
                <c:pt idx="183">
                  <c:v>2966.2179009844713</c:v>
                </c:pt>
                <c:pt idx="184">
                  <c:v>3055.6044380140056</c:v>
                </c:pt>
                <c:pt idx="185">
                  <c:v>3147.6725711544259</c:v>
                </c:pt>
                <c:pt idx="186">
                  <c:v>3242.5027482890587</c:v>
                </c:pt>
                <c:pt idx="187">
                  <c:v>3340.1778307377303</c:v>
                </c:pt>
                <c:pt idx="188">
                  <c:v>3440.7831656598623</c:v>
                </c:pt>
                <c:pt idx="189">
                  <c:v>3544.4066606296583</c:v>
                </c:pt>
                <c:pt idx="190">
                  <c:v>3651.1388604485483</c:v>
                </c:pt>
                <c:pt idx="191">
                  <c:v>3761.0730262620045</c:v>
                </c:pt>
                <c:pt idx="192">
                  <c:v>3874.305217049865</c:v>
                </c:pt>
                <c:pt idx="193">
                  <c:v>3990.9343735613611</c:v>
                </c:pt>
                <c:pt idx="194">
                  <c:v>4111.0624047682022</c:v>
                </c:pt>
                <c:pt idx="195">
                  <c:v>4234.7942769112487</c:v>
                </c:pt>
                <c:pt idx="196">
                  <c:v>4362.2381052185865</c:v>
                </c:pt>
                <c:pt idx="197">
                  <c:v>4493.5052483751442</c:v>
                </c:pt>
                <c:pt idx="198">
                  <c:v>4628.7104058263985</c:v>
                </c:pt>
                <c:pt idx="199">
                  <c:v>4767.9717180011903</c:v>
                </c:pt>
                <c:pt idx="200">
                  <c:v>4911.410869541226</c:v>
                </c:pt>
                <c:pt idx="201">
                  <c:v>5059.153195627463</c:v>
                </c:pt>
                <c:pt idx="202">
                  <c:v>5211.3277914962873</c:v>
                </c:pt>
                <c:pt idx="203">
                  <c:v>5368.0676252411758</c:v>
                </c:pt>
                <c:pt idx="204">
                  <c:v>5529.5096539984115</c:v>
                </c:pt>
                <c:pt idx="205">
                  <c:v>5695.7949436183635</c:v>
                </c:pt>
                <c:pt idx="206">
                  <c:v>5867.0687919269149</c:v>
                </c:pt>
                <c:pt idx="207">
                  <c:v>6043.480855684722</c:v>
                </c:pt>
                <c:pt idx="208">
                  <c:v>6225.1852813552632</c:v>
                </c:pt>
                <c:pt idx="209">
                  <c:v>6412.3408397959211</c:v>
                </c:pt>
                <c:pt idx="210">
                  <c:v>6605.1110649897992</c:v>
                </c:pt>
                <c:pt idx="211">
                  <c:v>6803.6643969394936</c:v>
                </c:pt>
                <c:pt idx="212">
                  <c:v>7008.1743288476782</c:v>
                </c:pt>
                <c:pt idx="213">
                  <c:v>7218.8195587131086</c:v>
                </c:pt>
                <c:pt idx="214">
                  <c:v>7435.7841454745021</c:v>
                </c:pt>
                <c:pt idx="215">
                  <c:v>7659.2576698387375</c:v>
                </c:pt>
                <c:pt idx="216">
                  <c:v>7889.4353999339</c:v>
                </c:pt>
                <c:pt idx="217">
                  <c:v>8126.518461931917</c:v>
                </c:pt>
                <c:pt idx="218">
                  <c:v>8370.7140157898739</c:v>
                </c:pt>
                <c:pt idx="219">
                  <c:v>8622.2354362635706</c:v>
                </c:pt>
                <c:pt idx="220">
                  <c:v>8881.3024993514773</c:v>
                </c:pt>
                <c:pt idx="221">
                  <c:v>9148.1415743320213</c:v>
                </c:pt>
                <c:pt idx="222">
                  <c:v>9422.9858215619824</c:v>
                </c:pt>
                <c:pt idx="223">
                  <c:v>9706.075396208842</c:v>
                </c:pt>
                <c:pt idx="224">
                  <c:v>9997.6576580951078</c:v>
                </c:pt>
                <c:pt idx="225">
                  <c:v>10297.98738783796</c:v>
                </c:pt>
                <c:pt idx="226">
                  <c:v>10607.3270094731</c:v>
                </c:pt>
                <c:pt idx="227">
                  <c:v>10925.946819757293</c:v>
                </c:pt>
                <c:pt idx="228">
                  <c:v>11254.125224350013</c:v>
                </c:pt>
                <c:pt idx="229">
                  <c:v>11592.148981080514</c:v>
                </c:pt>
                <c:pt idx="230">
                  <c:v>11940.313450512929</c:v>
                </c:pt>
                <c:pt idx="231">
                  <c:v>12298.922854028317</c:v>
                </c:pt>
                <c:pt idx="232">
                  <c:v>12668.290539649166</c:v>
                </c:pt>
                <c:pt idx="233">
                  <c:v>13048.739255838642</c:v>
                </c:pt>
                <c:pt idx="234">
                  <c:v>13440.601433513801</c:v>
                </c:pt>
                <c:pt idx="235">
                  <c:v>13844.219476519214</c:v>
                </c:pt>
                <c:pt idx="236">
                  <c:v>14259.946060814791</c:v>
                </c:pt>
                <c:pt idx="237">
                  <c:v>14688.144442639235</c:v>
                </c:pt>
                <c:pt idx="238">
                  <c:v>15129.188775918412</c:v>
                </c:pt>
                <c:pt idx="239">
                  <c:v>15583.464439195965</c:v>
                </c:pt>
                <c:pt idx="240">
                  <c:v>16051.368372371844</c:v>
                </c:pt>
                <c:pt idx="241">
                  <c:v>16533.309423543</c:v>
                </c:pt>
                <c:pt idx="242">
                  <c:v>17029.70870624929</c:v>
                </c:pt>
                <c:pt idx="243">
                  <c:v>17540.999967436768</c:v>
                </c:pt>
                <c:pt idx="244">
                  <c:v>18067.62996645987</c:v>
                </c:pt>
                <c:pt idx="245">
                  <c:v>18610.058865453666</c:v>
                </c:pt>
                <c:pt idx="246">
                  <c:v>19168.760631417277</c:v>
                </c:pt>
                <c:pt idx="247">
                  <c:v>19744.223450359797</c:v>
                </c:pt>
                <c:pt idx="248">
                  <c:v>20336.950153870592</c:v>
                </c:pt>
                <c:pt idx="249">
                  <c:v>20947.45865848671</c:v>
                </c:pt>
                <c:pt idx="250">
                  <c:v>21576.282418241313</c:v>
                </c:pt>
                <c:pt idx="251">
                  <c:v>22223.970890788554</c:v>
                </c:pt>
                <c:pt idx="252">
                  <c:v>22891.090017512211</c:v>
                </c:pt>
                <c:pt idx="253">
                  <c:v>23578.222718037578</c:v>
                </c:pt>
                <c:pt idx="254">
                  <c:v>24285.969399578706</c:v>
                </c:pt>
                <c:pt idx="255">
                  <c:v>25014.948481566069</c:v>
                </c:pt>
                <c:pt idx="256">
                  <c:v>25765.796936013052</c:v>
                </c:pt>
                <c:pt idx="257">
                  <c:v>26539.170844093445</c:v>
                </c:pt>
                <c:pt idx="258">
                  <c:v>27335.74596941625</c:v>
                </c:pt>
                <c:pt idx="259">
                  <c:v>28156.218348498736</c:v>
                </c:pt>
                <c:pt idx="260">
                  <c:v>29001.304898953698</c:v>
                </c:pt>
                <c:pt idx="261">
                  <c:v>29871.744045922311</c:v>
                </c:pt>
                <c:pt idx="262">
                  <c:v>30768.296367299979</c:v>
                </c:pt>
                <c:pt idx="263">
                  <c:v>31691.745258318981</c:v>
                </c:pt>
                <c:pt idx="264">
                  <c:v>32642.897616068549</c:v>
                </c:pt>
                <c:pt idx="265">
                  <c:v>33622.584544550606</c:v>
                </c:pt>
                <c:pt idx="266">
                  <c:v>34631.662080887123</c:v>
                </c:pt>
                <c:pt idx="267">
                  <c:v>35671.011943313737</c:v>
                </c:pt>
                <c:pt idx="268">
                  <c:v>36741.542301613154</c:v>
                </c:pt>
                <c:pt idx="269">
                  <c:v>37844.18857066155</c:v>
                </c:pt>
                <c:pt idx="270">
                  <c:v>38979.914227781395</c:v>
                </c:pt>
                <c:pt idx="271">
                  <c:v>40149.711654614839</c:v>
                </c:pt>
                <c:pt idx="272">
                  <c:v>41354.603004253288</c:v>
                </c:pt>
                <c:pt idx="273">
                  <c:v>42595.641094380888</c:v>
                </c:pt>
                <c:pt idx="274">
                  <c:v>43873.910327212317</c:v>
                </c:pt>
                <c:pt idx="275">
                  <c:v>45190.527637028688</c:v>
                </c:pt>
                <c:pt idx="276">
                  <c:v>46546.643466139547</c:v>
                </c:pt>
                <c:pt idx="277">
                  <c:v>47943.442770123736</c:v>
                </c:pt>
                <c:pt idx="278">
                  <c:v>49382.14605322745</c:v>
                </c:pt>
                <c:pt idx="279">
                  <c:v>50864.010434824275</c:v>
                </c:pt>
                <c:pt idx="280">
                  <c:v>52390.330747869004</c:v>
                </c:pt>
                <c:pt idx="281">
                  <c:v>53962.440670305077</c:v>
                </c:pt>
                <c:pt idx="282">
                  <c:v>55581.713890414234</c:v>
                </c:pt>
                <c:pt idx="283">
                  <c:v>57249.565307126664</c:v>
                </c:pt>
                <c:pt idx="284">
                  <c:v>58967.452266340464</c:v>
                </c:pt>
                <c:pt idx="285">
                  <c:v>60736.875834330676</c:v>
                </c:pt>
                <c:pt idx="286">
                  <c:v>62559.382109360595</c:v>
                </c:pt>
                <c:pt idx="287">
                  <c:v>64436.563572641411</c:v>
                </c:pt>
                <c:pt idx="288">
                  <c:v>66370.060479820662</c:v>
                </c:pt>
                <c:pt idx="289">
                  <c:v>68361.562294215284</c:v>
                </c:pt>
                <c:pt idx="290">
                  <c:v>70412.809163041748</c:v>
                </c:pt>
                <c:pt idx="291">
                  <c:v>72525.593437932999</c:v>
                </c:pt>
                <c:pt idx="292">
                  <c:v>74701.761241070984</c:v>
                </c:pt>
                <c:pt idx="293">
                  <c:v>76943.214078303121</c:v>
                </c:pt>
                <c:pt idx="294">
                  <c:v>79251.910500652215</c:v>
                </c:pt>
                <c:pt idx="295">
                  <c:v>81629.86781567178</c:v>
                </c:pt>
                <c:pt idx="296">
                  <c:v>84079.163850141937</c:v>
                </c:pt>
                <c:pt idx="297">
                  <c:v>86601.938765646191</c:v>
                </c:pt>
                <c:pt idx="298">
                  <c:v>89200.396928615577</c:v>
                </c:pt>
                <c:pt idx="299">
                  <c:v>91876.808836474054</c:v>
                </c:pt>
                <c:pt idx="300">
                  <c:v>94633.513101568271</c:v>
                </c:pt>
              </c:numCache>
            </c:numRef>
          </c:xVal>
          <c:yVal>
            <c:numRef>
              <c:f>'Reactor sheet'!$K$15:$K$315</c:f>
              <c:numCache>
                <c:formatCode>General</c:formatCode>
                <c:ptCount val="301"/>
                <c:pt idx="0">
                  <c:v>30.28731011570974</c:v>
                </c:pt>
                <c:pt idx="1">
                  <c:v>30.36280901246338</c:v>
                </c:pt>
                <c:pt idx="2">
                  <c:v>30.439171441130529</c:v>
                </c:pt>
                <c:pt idx="3">
                  <c:v>30.516448193000386</c:v>
                </c:pt>
                <c:pt idx="4">
                  <c:v>30.5946877472323</c:v>
                </c:pt>
                <c:pt idx="5">
                  <c:v>30.67393666495602</c:v>
                </c:pt>
                <c:pt idx="6">
                  <c:v>30.754239915260339</c:v>
                </c:pt>
                <c:pt idx="7">
                  <c:v>30.835641147145598</c:v>
                </c:pt>
                <c:pt idx="8">
                  <c:v>30.918182918184485</c:v>
                </c:pt>
                <c:pt idx="9">
                  <c:v>31.001906888184202</c:v>
                </c:pt>
                <c:pt idx="10">
                  <c:v>31.086853984316512</c:v>
                </c:pt>
                <c:pt idx="11">
                  <c:v>31.173064542805186</c:v>
                </c:pt>
                <c:pt idx="12">
                  <c:v>31.260578431211332</c:v>
                </c:pt>
                <c:pt idx="13">
                  <c:v>31.349435154549845</c:v>
                </c:pt>
                <c:pt idx="14">
                  <c:v>31.439673947843332</c:v>
                </c:pt>
                <c:pt idx="15">
                  <c:v>31.531333857228869</c:v>
                </c:pt>
                <c:pt idx="16">
                  <c:v>31.624453811345241</c:v>
                </c:pt>
                <c:pt idx="17">
                  <c:v>31.71907268441992</c:v>
                </c:pt>
                <c:pt idx="18">
                  <c:v>31.815229352227856</c:v>
                </c:pt>
                <c:pt idx="19">
                  <c:v>31.912962741894855</c:v>
                </c:pt>
                <c:pt idx="20">
                  <c:v>32.012311876356492</c:v>
                </c:pt>
                <c:pt idx="21">
                  <c:v>32.11331591415135</c:v>
                </c:pt>
                <c:pt idx="22">
                  <c:v>32.21601418511878</c:v>
                </c:pt>
                <c:pt idx="23">
                  <c:v>32.320446222481742</c:v>
                </c:pt>
                <c:pt idx="24">
                  <c:v>32.426651791720772</c:v>
                </c:pt>
                <c:pt idx="25">
                  <c:v>32.534670916583011</c:v>
                </c:pt>
                <c:pt idx="26">
                  <c:v>32.644543902517967</c:v>
                </c:pt>
                <c:pt idx="27">
                  <c:v>32.75631135778783</c:v>
                </c:pt>
                <c:pt idx="28">
                  <c:v>32.870014212462799</c:v>
                </c:pt>
                <c:pt idx="29">
                  <c:v>32.985693735480176</c:v>
                </c:pt>
                <c:pt idx="30">
                  <c:v>33.103391549918911</c:v>
                </c:pt>
                <c:pt idx="31">
                  <c:v>33.223149646617856</c:v>
                </c:pt>
                <c:pt idx="32">
                  <c:v>33.345010396245925</c:v>
                </c:pt>
                <c:pt idx="33">
                  <c:v>33.469016559914778</c:v>
                </c:pt>
                <c:pt idx="34">
                  <c:v>33.595211298409502</c:v>
                </c:pt>
                <c:pt idx="35">
                  <c:v>33.723638180099279</c:v>
                </c:pt>
                <c:pt idx="36">
                  <c:v>33.854341187578235</c:v>
                </c:pt>
                <c:pt idx="37">
                  <c:v>33.987364723076354</c:v>
                </c:pt>
                <c:pt idx="38">
                  <c:v>34.122753612670763</c:v>
                </c:pt>
                <c:pt idx="39">
                  <c:v>34.260553109319602</c:v>
                </c:pt>
                <c:pt idx="40">
                  <c:v>34.40080889473294</c:v>
                </c:pt>
                <c:pt idx="41">
                  <c:v>34.543567080088501</c:v>
                </c:pt>
                <c:pt idx="42">
                  <c:v>34.688874205593599</c:v>
                </c:pt>
                <c:pt idx="43">
                  <c:v>34.836777238889034</c:v>
                </c:pt>
                <c:pt idx="44">
                  <c:v>34.987323572285327</c:v>
                </c:pt>
                <c:pt idx="45">
                  <c:v>35.140561018816669</c:v>
                </c:pt>
                <c:pt idx="46">
                  <c:v>35.296537807093522</c:v>
                </c:pt>
                <c:pt idx="47">
                  <c:v>35.45530257493013</c:v>
                </c:pt>
                <c:pt idx="48">
                  <c:v>35.616904361719378</c:v>
                </c:pt>
                <c:pt idx="49">
                  <c:v>35.781392599523208</c:v>
                </c:pt>
                <c:pt idx="50">
                  <c:v>35.948817102843179</c:v>
                </c:pt>
                <c:pt idx="51">
                  <c:v>36.119228057031961</c:v>
                </c:pt>
                <c:pt idx="52">
                  <c:v>36.292676005303171</c:v>
                </c:pt>
                <c:pt idx="53">
                  <c:v>36.469211834293269</c:v>
                </c:pt>
                <c:pt idx="54">
                  <c:v>36.648886758126082</c:v>
                </c:pt>
                <c:pt idx="55">
                  <c:v>36.831752300927064</c:v>
                </c:pt>
                <c:pt idx="56">
                  <c:v>37.01786027773116</c:v>
                </c:pt>
                <c:pt idx="57">
                  <c:v>37.207262773724935</c:v>
                </c:pt>
                <c:pt idx="58">
                  <c:v>37.400012121760454</c:v>
                </c:pt>
                <c:pt idx="59">
                  <c:v>37.596160878075224</c:v>
                </c:pt>
                <c:pt idx="60">
                  <c:v>37.7957617961493</c:v>
                </c:pt>
                <c:pt idx="61">
                  <c:v>37.998867798627693</c:v>
                </c:pt>
                <c:pt idx="62">
                  <c:v>38.205531947232956</c:v>
                </c:pt>
                <c:pt idx="63">
                  <c:v>38.415807410589863</c:v>
                </c:pt>
                <c:pt idx="64">
                  <c:v>38.629747429880929</c:v>
                </c:pt>
                <c:pt idx="65">
                  <c:v>38.847405282248545</c:v>
                </c:pt>
                <c:pt idx="66">
                  <c:v>39.068834241856436</c:v>
                </c:pt>
                <c:pt idx="67">
                  <c:v>39.294087538520138</c:v>
                </c:pt>
                <c:pt idx="68">
                  <c:v>39.523218313813281</c:v>
                </c:pt>
                <c:pt idx="69">
                  <c:v>39.75627957455341</c:v>
                </c:pt>
                <c:pt idx="70">
                  <c:v>39.993324143568287</c:v>
                </c:pt>
                <c:pt idx="71">
                  <c:v>40.234404607640762</c:v>
                </c:pt>
                <c:pt idx="72">
                  <c:v>40.479573262527417</c:v>
                </c:pt>
                <c:pt idx="73">
                  <c:v>40.728882054943654</c:v>
                </c:pt>
                <c:pt idx="74">
                  <c:v>40.982382521405121</c:v>
                </c:pt>
                <c:pt idx="75">
                  <c:v>41.240125723812945</c:v>
                </c:pt>
                <c:pt idx="76">
                  <c:v>41.502162181667806</c:v>
                </c:pt>
                <c:pt idx="77">
                  <c:v>41.768541800795617</c:v>
                </c:pt>
                <c:pt idx="78">
                  <c:v>42.039313798465543</c:v>
                </c:pt>
                <c:pt idx="79">
                  <c:v>42.314526624778992</c:v>
                </c:pt>
                <c:pt idx="80">
                  <c:v>42.594227880206724</c:v>
                </c:pt>
                <c:pt idx="81">
                  <c:v>42.878464229149436</c:v>
                </c:pt>
                <c:pt idx="82">
                  <c:v>43.16728130939623</c:v>
                </c:pt>
                <c:pt idx="83">
                  <c:v>43.460723637354135</c:v>
                </c:pt>
                <c:pt idx="84">
                  <c:v>43.758834508921403</c:v>
                </c:pt>
                <c:pt idx="85">
                  <c:v>44.061655895876918</c:v>
                </c:pt>
                <c:pt idx="86">
                  <c:v>44.369228337658171</c:v>
                </c:pt>
                <c:pt idx="87">
                  <c:v>44.681590828400772</c:v>
                </c:pt>
                <c:pt idx="88">
                  <c:v>44.998780699113539</c:v>
                </c:pt>
                <c:pt idx="89">
                  <c:v>45.32083349486463</c:v>
                </c:pt>
                <c:pt idx="90">
                  <c:v>45.647782846856437</c:v>
                </c:pt>
                <c:pt idx="91">
                  <c:v>45.979660339269536</c:v>
                </c:pt>
                <c:pt idx="92">
                  <c:v>46.316495370759554</c:v>
                </c:pt>
                <c:pt idx="93">
                  <c:v>46.65831501049491</c:v>
                </c:pt>
                <c:pt idx="94">
                  <c:v>47.005143848628393</c:v>
                </c:pt>
                <c:pt idx="95">
                  <c:v>47.357003841101424</c:v>
                </c:pt>
                <c:pt idx="96">
                  <c:v>47.713914148686641</c:v>
                </c:pt>
                <c:pt idx="97">
                  <c:v>48.075890970182371</c:v>
                </c:pt>
                <c:pt idx="98">
                  <c:v>48.442947369681463</c:v>
                </c:pt>
                <c:pt idx="99">
                  <c:v>48.815093097847189</c:v>
                </c:pt>
                <c:pt idx="100">
                  <c:v>49.192334407140322</c:v>
                </c:pt>
                <c:pt idx="101">
                  <c:v>49.574673860954491</c:v>
                </c:pt>
                <c:pt idx="102">
                  <c:v>49.962110136631061</c:v>
                </c:pt>
                <c:pt idx="103">
                  <c:v>50.354637822340926</c:v>
                </c:pt>
                <c:pt idx="104">
                  <c:v>50.752247207838067</c:v>
                </c:pt>
                <c:pt idx="105">
                  <c:v>51.154924069109221</c:v>
                </c:pt>
                <c:pt idx="106">
                  <c:v>51.562649446965423</c:v>
                </c:pt>
                <c:pt idx="107">
                  <c:v>51.975399419644432</c:v>
                </c:pt>
                <c:pt idx="108">
                  <c:v>52.393144869518707</c:v>
                </c:pt>
                <c:pt idx="109">
                  <c:v>52.815851244031421</c:v>
                </c:pt>
                <c:pt idx="110">
                  <c:v>53.24347831101317</c:v>
                </c:pt>
                <c:pt idx="111">
                  <c:v>53.675979908564877</c:v>
                </c:pt>
                <c:pt idx="112">
                  <c:v>54.113303689727751</c:v>
                </c:pt>
                <c:pt idx="113">
                  <c:v>54.555390862199417</c:v>
                </c:pt>
                <c:pt idx="114">
                  <c:v>55.002175923396372</c:v>
                </c:pt>
                <c:pt idx="115">
                  <c:v>55.453586391207175</c:v>
                </c:pt>
                <c:pt idx="116">
                  <c:v>55.909542530827927</c:v>
                </c:pt>
                <c:pt idx="117">
                  <c:v>56.369957078122241</c:v>
                </c:pt>
                <c:pt idx="118">
                  <c:v>56.834734960001704</c:v>
                </c:pt>
                <c:pt idx="119">
                  <c:v>57.303773012380255</c:v>
                </c:pt>
                <c:pt idx="120">
                  <c:v>57.776959696316666</c:v>
                </c:pt>
                <c:pt idx="121">
                  <c:v>58.254174813023887</c:v>
                </c:pt>
                <c:pt idx="122">
                  <c:v>58.735289218492007</c:v>
                </c:pt>
                <c:pt idx="123">
                  <c:v>59.220164538543379</c:v>
                </c:pt>
                <c:pt idx="124">
                  <c:v>59.708652885213958</c:v>
                </c:pt>
                <c:pt idx="125">
                  <c:v>60.200596575433877</c:v>
                </c:pt>
                <c:pt idx="126">
                  <c:v>60.695827853062966</c:v>
                </c:pt>
                <c:pt idx="127">
                  <c:v>61.194168615423166</c:v>
                </c:pt>
                <c:pt idx="128">
                  <c:v>61.695430145559236</c:v>
                </c:pt>
                <c:pt idx="129">
                  <c:v>62.199412851551742</c:v>
                </c:pt>
                <c:pt idx="130">
                  <c:v>62.705906014302215</c:v>
                </c:pt>
                <c:pt idx="131">
                  <c:v>63.214687545308358</c:v>
                </c:pt>
                <c:pt idx="132">
                  <c:v>63.72552375604797</c:v>
                </c:pt>
                <c:pt idx="133">
                  <c:v>64.238169140692619</c:v>
                </c:pt>
                <c:pt idx="134">
                  <c:v>64.752366173976014</c:v>
                </c:pt>
                <c:pt idx="135">
                  <c:v>65.26784512614644</c:v>
                </c:pt>
                <c:pt idx="136">
                  <c:v>65.784323897037737</c:v>
                </c:pt>
                <c:pt idx="137">
                  <c:v>66.301507871396907</c:v>
                </c:pt>
                <c:pt idx="138">
                  <c:v>66.819089797709438</c:v>
                </c:pt>
                <c:pt idx="139">
                  <c:v>67.336749692863066</c:v>
                </c:pt>
                <c:pt idx="140">
                  <c:v>67.854154775087309</c:v>
                </c:pt>
                <c:pt idx="141">
                  <c:v>68.370959427697585</c:v>
                </c:pt>
                <c:pt idx="142">
                  <c:v>68.886805196257882</c:v>
                </c:pt>
                <c:pt idx="143">
                  <c:v>69.401320821853645</c:v>
                </c:pt>
                <c:pt idx="144">
                  <c:v>69.914122313234685</c:v>
                </c:pt>
                <c:pt idx="145">
                  <c:v>70.424813060644851</c:v>
                </c:pt>
                <c:pt idx="146">
                  <c:v>70.932983994199262</c:v>
                </c:pt>
                <c:pt idx="147">
                  <c:v>71.438213789698594</c:v>
                </c:pt>
                <c:pt idx="148">
                  <c:v>71.940069124781331</c:v>
                </c:pt>
                <c:pt idx="149">
                  <c:v>72.438104988306705</c:v>
                </c:pt>
                <c:pt idx="150">
                  <c:v>72.931865045830378</c:v>
                </c:pt>
                <c:pt idx="151">
                  <c:v>73.420882063979789</c:v>
                </c:pt>
                <c:pt idx="152">
                  <c:v>73.904678396453235</c:v>
                </c:pt>
                <c:pt idx="153">
                  <c:v>74.382766534253847</c:v>
                </c:pt>
                <c:pt idx="154">
                  <c:v>74.85464972262352</c:v>
                </c:pt>
                <c:pt idx="155">
                  <c:v>75.319822646959821</c:v>
                </c:pt>
                <c:pt idx="156">
                  <c:v>75.777772189778332</c:v>
                </c:pt>
                <c:pt idx="157">
                  <c:v>76.227978260520345</c:v>
                </c:pt>
                <c:pt idx="158">
                  <c:v>76.66991469969966</c:v>
                </c:pt>
                <c:pt idx="159">
                  <c:v>77.103050258528839</c:v>
                </c:pt>
                <c:pt idx="160">
                  <c:v>77.526849654763183</c:v>
                </c:pt>
                <c:pt idx="161">
                  <c:v>77.940774705047602</c:v>
                </c:pt>
                <c:pt idx="162">
                  <c:v>78.344285533545644</c:v>
                </c:pt>
                <c:pt idx="163">
                  <c:v>78.736841856070939</c:v>
                </c:pt>
                <c:pt idx="164">
                  <c:v>79.117904338327349</c:v>
                </c:pt>
                <c:pt idx="165">
                  <c:v>79.486936026196517</c:v>
                </c:pt>
                <c:pt idx="166">
                  <c:v>79.843403845290695</c:v>
                </c:pt>
                <c:pt idx="167">
                  <c:v>80.186780166216252</c:v>
                </c:pt>
                <c:pt idx="168">
                  <c:v>80.516544431172434</c:v>
                </c:pt>
                <c:pt idx="169">
                  <c:v>80.832184836644217</c:v>
                </c:pt>
                <c:pt idx="170">
                  <c:v>81.133200066043301</c:v>
                </c:pt>
                <c:pt idx="171">
                  <c:v>81.419101065213169</c:v>
                </c:pt>
                <c:pt idx="172">
                  <c:v>81.68941285275136</c:v>
                </c:pt>
                <c:pt idx="173">
                  <c:v>81.943676356123987</c:v>
                </c:pt>
                <c:pt idx="174">
                  <c:v>82.181450263565239</c:v>
                </c:pt>
                <c:pt idx="175">
                  <c:v>82.402312880781125</c:v>
                </c:pt>
                <c:pt idx="176">
                  <c:v>82.605863980526522</c:v>
                </c:pt>
                <c:pt idx="177">
                  <c:v>82.791726632213809</c:v>
                </c:pt>
                <c:pt idx="178">
                  <c:v>82.959548997858292</c:v>
                </c:pt>
                <c:pt idx="179">
                  <c:v>83.109006079888943</c:v>
                </c:pt>
                <c:pt idx="180">
                  <c:v>83.239801405674029</c:v>
                </c:pt>
                <c:pt idx="181">
                  <c:v>83.351668633051133</c:v>
                </c:pt>
                <c:pt idx="182">
                  <c:v>83.444373060733199</c:v>
                </c:pt>
                <c:pt idx="183">
                  <c:v>83.517713027208771</c:v>
                </c:pt>
                <c:pt idx="184">
                  <c:v>83.571521181688979</c:v>
                </c:pt>
                <c:pt idx="185">
                  <c:v>83.605665610798411</c:v>
                </c:pt>
                <c:pt idx="186">
                  <c:v>83.62005080508267</c:v>
                </c:pt>
                <c:pt idx="187">
                  <c:v>83.614618450031671</c:v>
                </c:pt>
                <c:pt idx="188">
                  <c:v>83.589348027211116</c:v>
                </c:pt>
                <c:pt idx="189">
                  <c:v>83.544257212268178</c:v>
                </c:pt>
                <c:pt idx="190">
                  <c:v>83.479402058040449</c:v>
                </c:pt>
                <c:pt idx="191">
                  <c:v>83.394876952752611</c:v>
                </c:pt>
                <c:pt idx="192">
                  <c:v>83.290814345331626</c:v>
                </c:pt>
                <c:pt idx="193">
                  <c:v>83.167384232198799</c:v>
                </c:pt>
                <c:pt idx="194">
                  <c:v>83.024793402489536</c:v>
                </c:pt>
                <c:pt idx="195">
                  <c:v>82.863284441483998</c:v>
                </c:pt>
                <c:pt idx="196">
                  <c:v>82.683134495071627</c:v>
                </c:pt>
                <c:pt idx="197">
                  <c:v>82.484653801276764</c:v>
                </c:pt>
                <c:pt idx="198">
                  <c:v>82.268183998192484</c:v>
                </c:pt>
                <c:pt idx="199">
                  <c:v>82.034096221044834</c:v>
                </c:pt>
                <c:pt idx="200">
                  <c:v>81.782789004476058</c:v>
                </c:pt>
                <c:pt idx="201">
                  <c:v>81.514686009418398</c:v>
                </c:pt>
                <c:pt idx="202">
                  <c:v>81.230233597054777</c:v>
                </c:pt>
                <c:pt idx="203">
                  <c:v>80.92989827524687</c:v>
                </c:pt>
                <c:pt idx="204">
                  <c:v>80.61416404537465</c:v>
                </c:pt>
                <c:pt idx="205">
                  <c:v>80.283529679694894</c:v>
                </c:pt>
                <c:pt idx="206">
                  <c:v>79.938505961013576</c:v>
                </c:pt>
                <c:pt idx="207">
                  <c:v>79.579612917611357</c:v>
                </c:pt>
                <c:pt idx="208">
                  <c:v>79.207377086904174</c:v>
                </c:pt>
                <c:pt idx="209">
                  <c:v>78.82232884121764</c:v>
                </c:pt>
                <c:pt idx="210">
                  <c:v>78.424999808275615</c:v>
                </c:pt>
                <c:pt idx="211">
                  <c:v>78.015920417537643</c:v>
                </c:pt>
                <c:pt idx="212">
                  <c:v>77.595617601376276</c:v>
                </c:pt>
                <c:pt idx="213">
                  <c:v>77.164612677291728</c:v>
                </c:pt>
                <c:pt idx="214">
                  <c:v>76.723419433967734</c:v>
                </c:pt>
                <c:pt idx="215">
                  <c:v>76.272542440049733</c:v>
                </c:pt>
                <c:pt idx="216">
                  <c:v>75.81247559016434</c:v>
                </c:pt>
                <c:pt idx="217">
                  <c:v>75.343700898003689</c:v>
                </c:pt>
                <c:pt idx="218">
                  <c:v>74.866687541391158</c:v>
                </c:pt>
                <c:pt idx="219">
                  <c:v>74.381891159256284</c:v>
                </c:pt>
                <c:pt idx="220">
                  <c:v>73.889753395513523</c:v>
                </c:pt>
                <c:pt idx="221">
                  <c:v>73.390701680099028</c:v>
                </c:pt>
                <c:pt idx="222">
                  <c:v>72.885149233004498</c:v>
                </c:pt>
                <c:pt idx="223">
                  <c:v>72.373495273181547</c:v>
                </c:pt>
                <c:pt idx="224">
                  <c:v>71.85612541078271</c:v>
                </c:pt>
                <c:pt idx="225">
                  <c:v>71.333412198446823</c:v>
                </c:pt>
                <c:pt idx="226">
                  <c:v>70.805715815294889</c:v>
                </c:pt>
                <c:pt idx="227">
                  <c:v>70.273384856020613</c:v>
                </c:pt>
                <c:pt idx="228">
                  <c:v>69.736757196953647</c:v>
                </c:pt>
                <c:pt idx="229">
                  <c:v>69.196160911231402</c:v>
                </c:pt>
                <c:pt idx="230">
                  <c:v>68.651915206199106</c:v>
                </c:pt>
                <c:pt idx="231">
                  <c:v>68.104331357805052</c:v>
                </c:pt>
                <c:pt idx="232">
                  <c:v>67.553713618983508</c:v>
                </c:pt>
                <c:pt idx="233">
                  <c:v>67.000360081720046</c:v>
                </c:pt>
                <c:pt idx="234">
                  <c:v>66.444563475557658</c:v>
                </c:pt>
                <c:pt idx="235">
                  <c:v>65.886611888604278</c:v>
                </c:pt>
                <c:pt idx="236">
                  <c:v>65.32678940051909</c:v>
                </c:pt>
                <c:pt idx="237">
                  <c:v>64.765376620363938</c:v>
                </c:pt>
                <c:pt idx="238">
                  <c:v>64.202651125495848</c:v>
                </c:pt>
                <c:pt idx="239">
                  <c:v>63.638887800746119</c:v>
                </c:pt>
                <c:pt idx="240">
                  <c:v>63.074359079898372</c:v>
                </c:pt>
                <c:pt idx="241">
                  <c:v>62.509335093877368</c:v>
                </c:pt>
                <c:pt idx="242">
                  <c:v>61.944083732050039</c:v>
                </c:pt>
                <c:pt idx="243">
                  <c:v>61.378870624596537</c:v>
                </c:pt>
                <c:pt idx="244">
                  <c:v>60.813959055030459</c:v>
                </c:pt>
                <c:pt idx="245">
                  <c:v>60.24960981264887</c:v>
                </c:pt>
                <c:pt idx="246">
                  <c:v>59.686080995006861</c:v>
                </c:pt>
                <c:pt idx="247">
                  <c:v>59.123627770480013</c:v>
                </c:pt>
                <c:pt idx="248">
                  <c:v>58.562502110655494</c:v>
                </c:pt>
                <c:pt idx="249">
                  <c:v>58.002952501734214</c:v>
                </c:pt>
                <c:pt idx="250">
                  <c:v>57.445223643391621</c:v>
                </c:pt>
                <c:pt idx="251">
                  <c:v>56.889556142690139</c:v>
                </c:pt>
                <c:pt idx="252">
                  <c:v>56.336186209713247</c:v>
                </c:pt>
                <c:pt idx="253">
                  <c:v>55.785345360646097</c:v>
                </c:pt>
                <c:pt idx="254">
                  <c:v>55.237260133097159</c:v>
                </c:pt>
                <c:pt idx="255">
                  <c:v>54.692151817569872</c:v>
                </c:pt>
                <c:pt idx="256">
                  <c:v>54.15023620817275</c:v>
                </c:pt>
                <c:pt idx="257">
                  <c:v>53.611723374914334</c:v>
                </c:pt>
                <c:pt idx="258">
                  <c:v>53.076817459272647</c:v>
                </c:pt>
                <c:pt idx="259">
                  <c:v>52.545716494157077</c:v>
                </c:pt>
                <c:pt idx="260">
                  <c:v>52.01861224889187</c:v>
                </c:pt>
                <c:pt idx="261">
                  <c:v>51.495690099437603</c:v>
                </c:pt>
                <c:pt idx="262">
                  <c:v>50.977128923722319</c:v>
                </c:pt>
                <c:pt idx="263">
                  <c:v>50.463101021669495</c:v>
                </c:pt>
                <c:pt idx="264">
                  <c:v>49.953772059276062</c:v>
                </c:pt>
                <c:pt idx="265">
                  <c:v>49.449301035903822</c:v>
                </c:pt>
                <c:pt idx="266">
                  <c:v>48.949840273793576</c:v>
                </c:pt>
                <c:pt idx="267">
                  <c:v>48.455535428688371</c:v>
                </c:pt>
                <c:pt idx="268">
                  <c:v>47.966525520354551</c:v>
                </c:pt>
                <c:pt idx="269">
                  <c:v>47.482942981714189</c:v>
                </c:pt>
                <c:pt idx="270">
                  <c:v>47.004913725245473</c:v>
                </c:pt>
                <c:pt idx="271">
                  <c:v>46.53255722526788</c:v>
                </c:pt>
                <c:pt idx="272">
                  <c:v>46.065986614702688</c:v>
                </c:pt>
                <c:pt idx="273">
                  <c:v>45.605308794886987</c:v>
                </c:pt>
                <c:pt idx="274">
                  <c:v>45.150624557017444</c:v>
                </c:pt>
                <c:pt idx="275">
                  <c:v>44.702028713808588</c:v>
                </c:pt>
                <c:pt idx="276">
                  <c:v>44.259610239967948</c:v>
                </c:pt>
                <c:pt idx="277">
                  <c:v>43.823452420115558</c:v>
                </c:pt>
                <c:pt idx="278">
                  <c:v>43.39363300280673</c:v>
                </c:pt>
                <c:pt idx="279">
                  <c:v>42.970224359354908</c:v>
                </c:pt>
                <c:pt idx="280">
                  <c:v>42.553293646193062</c:v>
                </c:pt>
                <c:pt idx="281">
                  <c:v>42.142902969557767</c:v>
                </c:pt>
                <c:pt idx="282">
                  <c:v>41.73910955132871</c:v>
                </c:pt>
                <c:pt idx="283">
                  <c:v>41.3419658949066</c:v>
                </c:pt>
                <c:pt idx="284">
                  <c:v>40.951519950064117</c:v>
                </c:pt>
                <c:pt idx="285">
                  <c:v>40.567815275756686</c:v>
                </c:pt>
                <c:pt idx="286">
                  <c:v>40.190891199932395</c:v>
                </c:pt>
                <c:pt idx="287">
                  <c:v>39.820782975431669</c:v>
                </c:pt>
                <c:pt idx="288">
                  <c:v>39.45752193111835</c:v>
                </c:pt>
                <c:pt idx="289">
                  <c:v>39.101135617433613</c:v>
                </c:pt>
                <c:pt idx="290">
                  <c:v>38.751647945612191</c:v>
                </c:pt>
                <c:pt idx="291">
                  <c:v>38.409079319847216</c:v>
                </c:pt>
                <c:pt idx="292">
                  <c:v>38.073446761734672</c:v>
                </c:pt>
                <c:pt idx="293">
                  <c:v>37.7447640263727</c:v>
                </c:pt>
                <c:pt idx="294">
                  <c:v>37.423041709531745</c:v>
                </c:pt>
                <c:pt idx="295">
                  <c:v>37.108287345353624</c:v>
                </c:pt>
                <c:pt idx="296">
                  <c:v>36.800505494075892</c:v>
                </c:pt>
                <c:pt idx="297">
                  <c:v>36.499697819318293</c:v>
                </c:pt>
                <c:pt idx="298">
                  <c:v>36.205863154505153</c:v>
                </c:pt>
                <c:pt idx="299">
                  <c:v>35.918997558038583</c:v>
                </c:pt>
                <c:pt idx="300">
                  <c:v>35.639094356874978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B4B-0242-8B3A-FFC41A235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822688"/>
        <c:axId val="1001840656"/>
      </c:scatterChart>
      <c:valAx>
        <c:axId val="100182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Mass of Catalyst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840656"/>
        <c:crosses val="autoZero"/>
        <c:crossBetween val="midCat"/>
      </c:valAx>
      <c:valAx>
        <c:axId val="100184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Molar</a:t>
                </a:r>
                <a:r>
                  <a:rPr lang="en-US" baseline="0"/>
                  <a:t> flow mol/s</a:t>
                </a: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822688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08355205599297"/>
          <c:y val="0.12962962962962962"/>
          <c:w val="0.7673608923884514"/>
          <c:h val="0.82775444736074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'Economic Analysis'!$AK$9:$AK$51</c:f>
              <c:numCache>
                <c:formatCode>General</c:formatCode>
                <c:ptCount val="43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</c:numCache>
            </c:numRef>
          </c:xVal>
          <c:yVal>
            <c:numRef>
              <c:f>'Economic Analysis'!$AQ$9:$AQ$51</c:f>
              <c:numCache>
                <c:formatCode>_-* #,##0.00_-;\-* #,##0.00_-;_-* "-"??_-;_-@_-</c:formatCode>
                <c:ptCount val="43"/>
                <c:pt idx="0">
                  <c:v>-307484627.84077311</c:v>
                </c:pt>
                <c:pt idx="1">
                  <c:v>-307484627.84077311</c:v>
                </c:pt>
                <c:pt idx="2">
                  <c:v>-306031407.94700706</c:v>
                </c:pt>
                <c:pt idx="3">
                  <c:v>-304701971.35240561</c:v>
                </c:pt>
                <c:pt idx="4">
                  <c:v>-303489643.86626792</c:v>
                </c:pt>
                <c:pt idx="5">
                  <c:v>-302388080.25575346</c:v>
                </c:pt>
                <c:pt idx="6">
                  <c:v>-301391248.4220897</c:v>
                </c:pt>
                <c:pt idx="7">
                  <c:v>-300493414.33256721</c:v>
                </c:pt>
                <c:pt idx="8">
                  <c:v>-299689127.67229944</c:v>
                </c:pt>
                <c:pt idx="9">
                  <c:v>-298973208.18144107</c:v>
                </c:pt>
                <c:pt idx="10">
                  <c:v>-298340732.64519209</c:v>
                </c:pt>
                <c:pt idx="11">
                  <c:v>-297787022.50547189</c:v>
                </c:pt>
                <c:pt idx="12">
                  <c:v>-297307632.06462878</c:v>
                </c:pt>
                <c:pt idx="13">
                  <c:v>-296898337.25296342</c:v>
                </c:pt>
                <c:pt idx="14">
                  <c:v>-296555124.93318713</c:v>
                </c:pt>
                <c:pt idx="15">
                  <c:v>-296274182.71621811</c:v>
                </c:pt>
                <c:pt idx="16">
                  <c:v>-296051889.26393682</c:v>
                </c:pt>
                <c:pt idx="17">
                  <c:v>-295884805.05568373</c:v>
                </c:pt>
                <c:pt idx="18">
                  <c:v>-295769663.5963878</c:v>
                </c:pt>
                <c:pt idx="19">
                  <c:v>-295703363.04526895</c:v>
                </c:pt>
                <c:pt idx="20">
                  <c:v>-295682958.24505854</c:v>
                </c:pt>
                <c:pt idx="21">
                  <c:v>-295705653.13263988</c:v>
                </c:pt>
                <c:pt idx="22">
                  <c:v>-295768793.51291853</c:v>
                </c:pt>
                <c:pt idx="23">
                  <c:v>-295869860.17859995</c:v>
                </c:pt>
                <c:pt idx="24">
                  <c:v>-296006462.35937667</c:v>
                </c:pt>
                <c:pt idx="25">
                  <c:v>-296176331.48481375</c:v>
                </c:pt>
                <c:pt idx="26">
                  <c:v>-296377315.24596912</c:v>
                </c:pt>
                <c:pt idx="27">
                  <c:v>-296607371.94149864</c:v>
                </c:pt>
                <c:pt idx="28">
                  <c:v>-296864565.094675</c:v>
                </c:pt>
                <c:pt idx="29">
                  <c:v>-297147058.32839525</c:v>
                </c:pt>
                <c:pt idx="30">
                  <c:v>-297453110.48586839</c:v>
                </c:pt>
                <c:pt idx="31">
                  <c:v>-297781070.98526096</c:v>
                </c:pt>
                <c:pt idx="32">
                  <c:v>-298129375.39713615</c:v>
                </c:pt>
                <c:pt idx="33">
                  <c:v>-298496541.23405492</c:v>
                </c:pt>
                <c:pt idx="34">
                  <c:v>-298881163.94221401</c:v>
                </c:pt>
                <c:pt idx="35">
                  <c:v>-299281913.08547753</c:v>
                </c:pt>
                <c:pt idx="36">
                  <c:v>-299697528.71261913</c:v>
                </c:pt>
                <c:pt idx="37">
                  <c:v>-300126817.8990292</c:v>
                </c:pt>
                <c:pt idx="38">
                  <c:v>-300568651.45455772</c:v>
                </c:pt>
                <c:pt idx="39">
                  <c:v>-301021960.78956097</c:v>
                </c:pt>
                <c:pt idx="40">
                  <c:v>-301485734.93159837</c:v>
                </c:pt>
                <c:pt idx="41">
                  <c:v>-301959017.68558478</c:v>
                </c:pt>
                <c:pt idx="42">
                  <c:v>-302440904.93054783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2-6A42-802E-D8415219A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552063"/>
        <c:axId val="1748553711"/>
      </c:scatterChart>
      <c:valAx>
        <c:axId val="174855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  <a:r>
                  <a:rPr lang="en-US" baseline="0"/>
                  <a:t> of operation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469374453193351"/>
              <c:y val="4.99766695829688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553711"/>
        <c:crosses val="autoZero"/>
        <c:crossBetween val="midCat"/>
      </c:valAx>
      <c:valAx>
        <c:axId val="174855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Cummulative</a:t>
                </a:r>
                <a:r>
                  <a:rPr lang="en-US" baseline="0"/>
                  <a:t> NPV (USD)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552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'Economic Analysis'!$AT$14:$AT$19</c:f>
              <c:numCache>
                <c:formatCode>General</c:formatCode>
                <c:ptCount val="6"/>
                <c:pt idx="0">
                  <c:v>-40</c:v>
                </c:pt>
                <c:pt idx="1">
                  <c:v>-20</c:v>
                </c:pt>
                <c:pt idx="2">
                  <c:v>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xVal>
          <c:yVal>
            <c:numRef>
              <c:f>'Economic Analysis'!$AU$14:$AU$19</c:f>
              <c:numCache>
                <c:formatCode>General</c:formatCode>
                <c:ptCount val="6"/>
                <c:pt idx="0">
                  <c:v>-516048161.41451526</c:v>
                </c:pt>
                <c:pt idx="1">
                  <c:v>-423421615.01858538</c:v>
                </c:pt>
                <c:pt idx="2">
                  <c:v>-330795068.62265533</c:v>
                </c:pt>
                <c:pt idx="3">
                  <c:v>-238168522.22672588</c:v>
                </c:pt>
                <c:pt idx="4">
                  <c:v>-145541975.83079597</c:v>
                </c:pt>
                <c:pt idx="5">
                  <c:v>132337663.35699339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7-E848-B743-93006BF41E7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'Economic Analysis'!$AT$14:$AT$19</c:f>
              <c:numCache>
                <c:formatCode>General</c:formatCode>
                <c:ptCount val="6"/>
                <c:pt idx="0">
                  <c:v>-40</c:v>
                </c:pt>
                <c:pt idx="1">
                  <c:v>-20</c:v>
                </c:pt>
                <c:pt idx="2">
                  <c:v>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xVal>
          <c:yVal>
            <c:numRef>
              <c:f>'Economic Analysis'!$AV$14:$AV$19</c:f>
              <c:numCache>
                <c:formatCode>General</c:formatCode>
                <c:ptCount val="6"/>
                <c:pt idx="0">
                  <c:v>-875519076.86870408</c:v>
                </c:pt>
                <c:pt idx="1">
                  <c:v>-603157072.74567986</c:v>
                </c:pt>
                <c:pt idx="2">
                  <c:v>-330795068.62265533</c:v>
                </c:pt>
                <c:pt idx="3">
                  <c:v>-58433064.499631345</c:v>
                </c:pt>
                <c:pt idx="4">
                  <c:v>213928939.62339315</c:v>
                </c:pt>
                <c:pt idx="5">
                  <c:v>1031014951.9924662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77-E848-B743-93006BF41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234095"/>
        <c:axId val="4868176"/>
      </c:scatterChart>
      <c:valAx>
        <c:axId val="174723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176"/>
        <c:crosses val="autoZero"/>
        <c:crossBetween val="midCat"/>
      </c:valAx>
      <c:valAx>
        <c:axId val="486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23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79</xdr:col>
      <xdr:colOff>190125</xdr:colOff>
      <xdr:row>2</xdr:row>
      <xdr:rowOff>183102</xdr:rowOff>
    </xdr:from>
    <xdr:to>
      <xdr:col>84</xdr:col>
      <xdr:colOff>464305</xdr:colOff>
      <xdr:row>22</xdr:row>
      <xdr:rowOff>166474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5D1183A6-C4A9-F648-BF8A-A1A1A5471B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297765</xdr:colOff>
      <xdr:row>11</xdr:row>
      <xdr:rowOff>4304</xdr:rowOff>
    </xdr:from>
    <xdr:to>
      <xdr:col>90</xdr:col>
      <xdr:colOff>230187</xdr:colOff>
      <xdr:row>40</xdr:row>
      <xdr:rowOff>124707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13600EBC-EDF8-D543-937B-AD0EE565C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212725</xdr:colOff>
      <xdr:row>11</xdr:row>
      <xdr:rowOff>111125</xdr:rowOff>
    </xdr:from>
    <xdr:to>
      <xdr:col>38</xdr:col>
      <xdr:colOff>223599</xdr:colOff>
      <xdr:row>31</xdr:row>
      <xdr:rowOff>80819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B853E9-74D6-8240-829B-4997A3E93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44125" y="2206625"/>
          <a:ext cx="4963874" cy="3779694"/>
        </a:xfrm>
        <a:prstGeom prst="rect">
          <a:avLst/>
        </a:prstGeom>
      </xdr:spPr>
    </xdr:pic>
    <xdr:clientData/>
  </xdr:twoCellAnchor>
  <xdr:twoCellAnchor>
    <xdr:from>
      <xdr:col>3</xdr:col>
      <xdr:colOff>361791</xdr:colOff>
      <xdr:row>21</xdr:row>
      <xdr:rowOff>67433</xdr:rowOff>
    </xdr:from>
    <xdr:to>
      <xdr:col>7</xdr:col>
      <xdr:colOff>730532</xdr:colOff>
      <xdr:row>37</xdr:row>
      <xdr:rowOff>124628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32015D-5942-E248-81FE-EF938C9A5E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38</xdr:col>
      <xdr:colOff>548685</xdr:colOff>
      <xdr:row>16</xdr:row>
      <xdr:rowOff>160941</xdr:rowOff>
    </xdr:from>
    <xdr:ext cx="65" cy="172098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1A1A3D0-8A96-F047-8518-5D00E12CBA71}"/>
            </a:ext>
          </a:extLst>
        </xdr:cNvPr>
        <xdr:cNvSpPr txBox="1"/>
      </xdr:nvSpPr>
      <xdr:spPr>
        <a:xfrm>
          <a:off x="27522136" y="3217932"/>
          <a:ext cx="65" cy="172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640080</xdr:colOff>
      <xdr:row>15</xdr:row>
      <xdr:rowOff>86360</xdr:rowOff>
    </xdr:from>
    <xdr:to>
      <xdr:col>39</xdr:col>
      <xdr:colOff>182880</xdr:colOff>
      <xdr:row>29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5D0846-4811-A145-A9E9-232180641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121920</xdr:colOff>
      <xdr:row>20</xdr:row>
      <xdr:rowOff>116840</xdr:rowOff>
    </xdr:from>
    <xdr:to>
      <xdr:col>49</xdr:col>
      <xdr:colOff>304800</xdr:colOff>
      <xdr:row>34</xdr:row>
      <xdr:rowOff>157480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DBFED6-C6EA-2C41-B1BD-162DEE3D6B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@T2" TargetMode="External"/><Relationship Id="rId1" Type="http://schemas.openxmlformats.org/officeDocument/2006/relationships/hyperlink" Target="mailto:s@T1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amerpipe.com/wp-content/uploads/2015/10/APP-chart-v7-web.pdf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NPV@25%20yea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CC56-FFC0-4838-9683-6EBF9ABB6606}">
  <sheetPr codeName="Sheet1"/>
  <dimension ref="A2:BX83"/>
  <sheetViews>
    <sheetView tabSelected="1" topLeftCell="BH1" zoomScale="106" zoomScaleNormal="100" workbookViewId="0">
      <selection activeCell="BV25" sqref="BV25"/>
    </sheetView>
  </sheetViews>
  <sheetFormatPr baseColWidth="10" defaultColWidth="8.83203125" defaultRowHeight="15" x14ac:dyDescent="0.2"/>
  <cols>
    <col min="10" max="10" width="10.5" customWidth="1"/>
    <col min="11" max="11" width="10.33203125" customWidth="1"/>
    <col min="12" max="12" width="10.5" customWidth="1"/>
    <col min="24" max="30" width="9" bestFit="1" customWidth="1"/>
    <col min="33" max="39" width="9" bestFit="1" customWidth="1"/>
    <col min="41" max="41" width="9" bestFit="1" customWidth="1"/>
    <col min="45" max="45" width="12.33203125" bestFit="1" customWidth="1"/>
    <col min="47" max="50" width="9" bestFit="1" customWidth="1"/>
    <col min="68" max="68" width="9.83203125" bestFit="1" customWidth="1"/>
  </cols>
  <sheetData>
    <row r="2" spans="1:76" ht="16" thickBot="1" x14ac:dyDescent="0.25">
      <c r="F2" s="2" t="s">
        <v>104</v>
      </c>
      <c r="G2" s="2"/>
    </row>
    <row r="3" spans="1:76" ht="16" thickBot="1" x14ac:dyDescent="0.25">
      <c r="F3" s="29" t="s">
        <v>101</v>
      </c>
      <c r="G3" s="30"/>
      <c r="H3" s="30">
        <f>G18*0.044*3600*24/1000</f>
        <v>1000.0173725771343</v>
      </c>
      <c r="I3" s="30" t="s">
        <v>102</v>
      </c>
      <c r="J3" s="30" t="s">
        <v>302</v>
      </c>
      <c r="K3" s="58">
        <f>1000/H3-1</f>
        <v>-1.7372275333160658E-5</v>
      </c>
    </row>
    <row r="5" spans="1:76" x14ac:dyDescent="0.2">
      <c r="H5" s="49">
        <f>H6-H8</f>
        <v>-1.1942296843370226E-5</v>
      </c>
      <c r="I5" s="49">
        <f>I6-I8</f>
        <v>-3.4573988108355103E-5</v>
      </c>
    </row>
    <row r="6" spans="1:76" x14ac:dyDescent="0.2">
      <c r="H6">
        <f>'Reactor sheet'!D8/100</f>
        <v>0.3546961829750031</v>
      </c>
      <c r="I6">
        <f>'Reactor sheet'!E8/100</f>
        <v>0.97410233884835307</v>
      </c>
    </row>
    <row r="7" spans="1:76" x14ac:dyDescent="0.2">
      <c r="C7" s="31" t="s">
        <v>304</v>
      </c>
      <c r="D7" s="31" t="s">
        <v>303</v>
      </c>
      <c r="E7" s="31" t="s">
        <v>305</v>
      </c>
      <c r="F7" s="31" t="s">
        <v>33</v>
      </c>
      <c r="G7" s="31" t="s">
        <v>31</v>
      </c>
      <c r="H7" s="31" t="s">
        <v>20</v>
      </c>
      <c r="I7" s="31" t="s">
        <v>21</v>
      </c>
      <c r="J7" s="31" t="s">
        <v>25</v>
      </c>
      <c r="K7" s="31" t="s">
        <v>28</v>
      </c>
      <c r="L7" s="31" t="s">
        <v>29</v>
      </c>
      <c r="M7" s="31" t="s">
        <v>79</v>
      </c>
      <c r="N7" s="31" t="s">
        <v>80</v>
      </c>
      <c r="O7" s="31" t="s">
        <v>91</v>
      </c>
      <c r="P7" s="31" t="s">
        <v>92</v>
      </c>
      <c r="Q7" s="31" t="s">
        <v>93</v>
      </c>
      <c r="R7" s="31" t="s">
        <v>202</v>
      </c>
    </row>
    <row r="8" spans="1:76" x14ac:dyDescent="0.2">
      <c r="C8" s="26">
        <v>249</v>
      </c>
      <c r="D8" s="26">
        <v>175</v>
      </c>
      <c r="E8" s="26">
        <v>0.4</v>
      </c>
      <c r="F8" s="26">
        <v>0.51</v>
      </c>
      <c r="G8" s="26">
        <v>4</v>
      </c>
      <c r="H8" s="47">
        <v>0.35470812527184648</v>
      </c>
      <c r="I8" s="47">
        <v>0.97413691283646142</v>
      </c>
      <c r="J8" s="26">
        <v>0.25</v>
      </c>
      <c r="K8" s="26">
        <v>0.4</v>
      </c>
      <c r="L8" s="26">
        <f>0.2178*LN(K8)+1.119</f>
        <v>0.91943187859780906</v>
      </c>
      <c r="M8" s="26">
        <v>0.99</v>
      </c>
      <c r="N8" s="26">
        <v>0.01</v>
      </c>
      <c r="O8" s="26">
        <v>50</v>
      </c>
      <c r="P8" s="26">
        <v>40</v>
      </c>
      <c r="Q8" s="26">
        <v>70</v>
      </c>
      <c r="R8" s="45">
        <f>'Reactor sheet'!AR20</f>
        <v>3.1279577217981971</v>
      </c>
    </row>
    <row r="9" spans="1:76" x14ac:dyDescent="0.2">
      <c r="G9" s="32" t="s">
        <v>22</v>
      </c>
      <c r="H9" s="13">
        <f>P18*H8*I8</f>
        <v>201.31339574481638</v>
      </c>
      <c r="I9" s="13" t="s">
        <v>23</v>
      </c>
      <c r="J9" s="33"/>
      <c r="K9" s="31" t="s">
        <v>24</v>
      </c>
      <c r="L9" s="6">
        <f>P18*H8*(1-I8)</f>
        <v>5.3448194321840736</v>
      </c>
      <c r="M9" s="6" t="s">
        <v>23</v>
      </c>
    </row>
    <row r="10" spans="1:76" x14ac:dyDescent="0.2">
      <c r="G10" s="31" t="s">
        <v>32</v>
      </c>
      <c r="H10" s="31"/>
      <c r="I10" s="31"/>
      <c r="J10" s="6">
        <f>((U28*0.032)*0.6+((G18-AA18)*0.044)*0.05-(I19*0.002)*2-(J18*44+J19*2+J21*28+J23*28)*0.001*0.05-(K18*44+K19*2+K21*28+K23*28)*0.001*0.005)/(G18*0.044)</f>
        <v>9.5185908787905629E-2</v>
      </c>
    </row>
    <row r="11" spans="1:76" x14ac:dyDescent="0.2">
      <c r="A11" t="s">
        <v>219</v>
      </c>
      <c r="B11" s="53">
        <f>(B50-A50)*1000/B24/(B15-A15)</f>
        <v>30.194192284068663</v>
      </c>
      <c r="C11" t="s">
        <v>220</v>
      </c>
    </row>
    <row r="12" spans="1:76" x14ac:dyDescent="0.2">
      <c r="A12" t="s">
        <v>221</v>
      </c>
      <c r="B12">
        <f>B11/(B11-8.314)</f>
        <v>1.3799783791687044</v>
      </c>
      <c r="U12" s="49">
        <f>U28/U32-U13</f>
        <v>4.7892453240777622E-4</v>
      </c>
      <c r="Y12">
        <f>(1-U13)*10^(AK47-AL47/(O8+273+AM47))/Y16</f>
        <v>4.9841271004107037E-4</v>
      </c>
    </row>
    <row r="13" spans="1:76" x14ac:dyDescent="0.2">
      <c r="M13" s="49">
        <f>G50+I50+AC50-M50</f>
        <v>2.5668245507404208E-4</v>
      </c>
      <c r="N13" s="49">
        <f>Q50+O50-P50-N50</f>
        <v>6.184563972055912E-7</v>
      </c>
      <c r="O13" t="s">
        <v>261</v>
      </c>
      <c r="P13" s="52">
        <v>5</v>
      </c>
      <c r="S13" s="49">
        <f>S50+N50-M50-R50</f>
        <v>-6.1005467432551086E-4</v>
      </c>
      <c r="T13" t="s">
        <v>90</v>
      </c>
      <c r="U13" s="48">
        <v>0.49178622144724959</v>
      </c>
      <c r="X13" s="2">
        <f>W16-X16</f>
        <v>5.425531625302682E-6</v>
      </c>
      <c r="Y13">
        <f>U13*10^(AK45-AL45/(O8+273+AM45))/Y16</f>
        <v>2.1406934545951288E-3</v>
      </c>
      <c r="Z13" s="49">
        <f>U16-Y16</f>
        <v>-26.231798639283895</v>
      </c>
      <c r="AV13" s="20" t="s">
        <v>262</v>
      </c>
      <c r="AW13" s="20"/>
      <c r="AX13" s="20"/>
      <c r="AY13" s="20"/>
      <c r="BA13" s="20" t="s">
        <v>263</v>
      </c>
      <c r="BB13" s="20"/>
      <c r="BC13" s="20"/>
      <c r="BD13" s="20"/>
      <c r="BE13" s="20"/>
      <c r="BF13" s="20"/>
      <c r="BG13" s="20"/>
      <c r="BH13" s="20"/>
      <c r="BI13" s="20"/>
      <c r="BK13" s="20" t="s">
        <v>270</v>
      </c>
      <c r="BL13" s="20"/>
      <c r="BM13" s="20"/>
      <c r="BO13" s="20" t="s">
        <v>287</v>
      </c>
      <c r="BP13" s="20"/>
      <c r="BQ13" s="20"/>
      <c r="BT13" s="20" t="s">
        <v>320</v>
      </c>
      <c r="BU13" s="20"/>
      <c r="BV13" s="20"/>
      <c r="BW13" s="20"/>
    </row>
    <row r="14" spans="1:76" x14ac:dyDescent="0.2">
      <c r="A14" s="40" t="s">
        <v>217</v>
      </c>
      <c r="B14" s="40" t="s">
        <v>218</v>
      </c>
      <c r="E14" s="20"/>
      <c r="F14" s="34" t="s">
        <v>209</v>
      </c>
      <c r="G14" s="34" t="s">
        <v>6</v>
      </c>
      <c r="H14" s="34" t="s">
        <v>208</v>
      </c>
      <c r="I14" s="34" t="s">
        <v>7</v>
      </c>
      <c r="J14" s="34" t="s">
        <v>8</v>
      </c>
      <c r="K14" s="34" t="s">
        <v>9</v>
      </c>
      <c r="L14" s="42" t="s">
        <v>207</v>
      </c>
      <c r="M14" s="42" t="s">
        <v>203</v>
      </c>
      <c r="N14" s="42" t="s">
        <v>259</v>
      </c>
      <c r="O14" s="42" t="s">
        <v>260</v>
      </c>
      <c r="P14" s="34" t="s">
        <v>10</v>
      </c>
      <c r="Q14" s="34" t="s">
        <v>11</v>
      </c>
      <c r="R14" s="42" t="s">
        <v>177</v>
      </c>
      <c r="S14" s="42" t="s">
        <v>258</v>
      </c>
      <c r="T14" s="42" t="s">
        <v>178</v>
      </c>
      <c r="U14" s="34" t="s">
        <v>12</v>
      </c>
      <c r="V14" s="42" t="s">
        <v>179</v>
      </c>
      <c r="W14" s="34" t="s">
        <v>13</v>
      </c>
      <c r="X14" s="34" t="s">
        <v>14</v>
      </c>
      <c r="Y14" s="34" t="s">
        <v>15</v>
      </c>
      <c r="Z14" s="34" t="s">
        <v>16</v>
      </c>
      <c r="AA14" s="34" t="s">
        <v>17</v>
      </c>
      <c r="AB14" s="34" t="s">
        <v>205</v>
      </c>
      <c r="AC14" s="34" t="s">
        <v>204</v>
      </c>
      <c r="AD14" s="50" t="s">
        <v>206</v>
      </c>
      <c r="AF14" s="42" t="s">
        <v>210</v>
      </c>
      <c r="AG14" s="42"/>
      <c r="AH14" s="42"/>
      <c r="AI14" s="51"/>
      <c r="AJ14" s="20" t="s">
        <v>232</v>
      </c>
      <c r="AK14" s="20"/>
      <c r="AL14" s="20"/>
      <c r="AN14" s="20" t="s">
        <v>233</v>
      </c>
      <c r="AO14" s="20"/>
      <c r="AP14" s="20"/>
      <c r="AR14" s="20" t="s">
        <v>234</v>
      </c>
      <c r="AS14" s="20"/>
      <c r="AT14" s="20"/>
      <c r="AV14" s="20" t="s">
        <v>250</v>
      </c>
      <c r="AW14" s="20" t="s">
        <v>252</v>
      </c>
      <c r="AX14" s="20" t="s">
        <v>253</v>
      </c>
      <c r="AY14" s="20" t="s">
        <v>254</v>
      </c>
      <c r="BA14" s="20" t="s">
        <v>250</v>
      </c>
      <c r="BB14" s="20" t="s">
        <v>252</v>
      </c>
      <c r="BC14" s="20" t="s">
        <v>253</v>
      </c>
      <c r="BD14" s="20" t="s">
        <v>265</v>
      </c>
      <c r="BE14" s="20" t="s">
        <v>266</v>
      </c>
      <c r="BF14" s="20" t="s">
        <v>306</v>
      </c>
      <c r="BG14" s="20" t="s">
        <v>307</v>
      </c>
      <c r="BH14" s="20" t="s">
        <v>268</v>
      </c>
      <c r="BI14" s="20" t="s">
        <v>269</v>
      </c>
      <c r="BK14" s="27" t="s">
        <v>271</v>
      </c>
      <c r="BL14" s="41">
        <f>U32</f>
        <v>406.45632668404437</v>
      </c>
      <c r="BM14" s="41" t="s">
        <v>23</v>
      </c>
      <c r="BO14" s="27" t="s">
        <v>288</v>
      </c>
      <c r="BP14" s="6">
        <f>(J$19/J23)/(Z$19/Z23)</f>
        <v>2.2985796964945227</v>
      </c>
      <c r="BQ14" s="6"/>
      <c r="BT14" s="20" t="s">
        <v>321</v>
      </c>
      <c r="BU14" s="20" t="s">
        <v>336</v>
      </c>
      <c r="BV14" s="20" t="s">
        <v>337</v>
      </c>
      <c r="BW14" s="20" t="s">
        <v>338</v>
      </c>
      <c r="BX14" s="62" t="s">
        <v>339</v>
      </c>
    </row>
    <row r="15" spans="1:76" x14ac:dyDescent="0.2">
      <c r="A15">
        <v>50</v>
      </c>
      <c r="B15">
        <v>100</v>
      </c>
      <c r="E15" s="6" t="s">
        <v>26</v>
      </c>
      <c r="F15" s="6">
        <f>G15</f>
        <v>150</v>
      </c>
      <c r="G15" s="6">
        <f>150</f>
        <v>150</v>
      </c>
      <c r="H15" s="6">
        <v>120</v>
      </c>
      <c r="I15" s="6">
        <v>120</v>
      </c>
      <c r="J15" s="6">
        <f>Z15</f>
        <v>50</v>
      </c>
      <c r="K15" s="6">
        <f>Y15</f>
        <v>50</v>
      </c>
      <c r="L15" s="6">
        <f>K15</f>
        <v>50</v>
      </c>
      <c r="M15" s="47">
        <v>139.56565665490669</v>
      </c>
      <c r="N15" s="47">
        <v>153.41141771395365</v>
      </c>
      <c r="O15" s="6">
        <f>P15-P13</f>
        <v>244</v>
      </c>
      <c r="P15" s="3">
        <f>'Reactor sheet'!F8</f>
        <v>249</v>
      </c>
      <c r="Q15" s="6">
        <f>P15</f>
        <v>249</v>
      </c>
      <c r="R15" s="6">
        <f>Q15</f>
        <v>249</v>
      </c>
      <c r="S15" s="48">
        <v>234.40966172955169</v>
      </c>
      <c r="T15" s="6">
        <f>U15</f>
        <v>50</v>
      </c>
      <c r="U15" s="6">
        <f>O8</f>
        <v>50</v>
      </c>
      <c r="V15" s="6">
        <f>U15</f>
        <v>50</v>
      </c>
      <c r="W15" s="6">
        <f>Q8</f>
        <v>70</v>
      </c>
      <c r="X15" s="21">
        <v>105.67187587396462</v>
      </c>
      <c r="Y15" s="6">
        <f>O8</f>
        <v>50</v>
      </c>
      <c r="Z15" s="6">
        <f>Y15</f>
        <v>50</v>
      </c>
      <c r="AA15" s="6">
        <f>Z15</f>
        <v>50</v>
      </c>
      <c r="AB15" s="6">
        <f>AA15</f>
        <v>50</v>
      </c>
      <c r="AC15" s="41">
        <f>AO27</f>
        <v>141.21080834640219</v>
      </c>
      <c r="AD15" s="41">
        <v>50</v>
      </c>
      <c r="AF15" s="27" t="s">
        <v>211</v>
      </c>
      <c r="AG15" s="6">
        <v>50</v>
      </c>
      <c r="AH15" s="6" t="s">
        <v>212</v>
      </c>
      <c r="AJ15" s="27" t="s">
        <v>211</v>
      </c>
      <c r="AK15" s="6">
        <v>50</v>
      </c>
      <c r="AL15" s="6" t="s">
        <v>212</v>
      </c>
      <c r="AN15" s="27" t="s">
        <v>211</v>
      </c>
      <c r="AO15" s="6">
        <f>AD15</f>
        <v>50</v>
      </c>
      <c r="AP15" s="6" t="s">
        <v>212</v>
      </c>
      <c r="AR15" s="20" t="s">
        <v>235</v>
      </c>
      <c r="AS15" s="20"/>
      <c r="AT15" s="6"/>
      <c r="AV15" s="27" t="s">
        <v>245</v>
      </c>
      <c r="AW15" s="6" t="s">
        <v>203</v>
      </c>
      <c r="AX15" s="6"/>
      <c r="AY15" s="6"/>
      <c r="BA15" s="27" t="s">
        <v>245</v>
      </c>
      <c r="BB15" s="6" t="s">
        <v>260</v>
      </c>
      <c r="BC15" s="6" t="s">
        <v>259</v>
      </c>
      <c r="BD15" s="6" t="s">
        <v>203</v>
      </c>
      <c r="BE15" s="6" t="s">
        <v>267</v>
      </c>
      <c r="BF15" s="41" t="s">
        <v>267</v>
      </c>
      <c r="BG15" s="6" t="s">
        <v>267</v>
      </c>
      <c r="BH15" s="6" t="s">
        <v>267</v>
      </c>
      <c r="BI15" s="6" t="s">
        <v>285</v>
      </c>
      <c r="BK15" s="20" t="s">
        <v>272</v>
      </c>
      <c r="BL15" s="20"/>
      <c r="BM15" s="20"/>
      <c r="BO15" s="27" t="s">
        <v>290</v>
      </c>
      <c r="BP15" s="6">
        <v>5000</v>
      </c>
      <c r="BQ15" s="6" t="s">
        <v>289</v>
      </c>
      <c r="BT15" s="27" t="s">
        <v>304</v>
      </c>
      <c r="BU15" s="6">
        <f>'Reactor sheet'!F8</f>
        <v>249</v>
      </c>
      <c r="BV15" s="6">
        <f>BL21</f>
        <v>105.67187587396462</v>
      </c>
      <c r="BW15" s="6">
        <f>W15</f>
        <v>70</v>
      </c>
      <c r="BX15" t="s">
        <v>340</v>
      </c>
    </row>
    <row r="16" spans="1:76" x14ac:dyDescent="0.2">
      <c r="E16" s="6" t="s">
        <v>27</v>
      </c>
      <c r="F16" s="6">
        <f>G16+G83</f>
        <v>183.55691829306161</v>
      </c>
      <c r="G16" s="6">
        <f>M16+M83</f>
        <v>182.58259155327923</v>
      </c>
      <c r="H16" s="6">
        <f>I16+I68+I83</f>
        <v>220.14296244778842</v>
      </c>
      <c r="I16" s="6">
        <f>G16</f>
        <v>182.58259155327923</v>
      </c>
      <c r="J16" s="6">
        <f>AA16-P8</f>
        <v>82.918153456235814</v>
      </c>
      <c r="K16" s="6">
        <f>Z16</f>
        <v>124.9146828316575</v>
      </c>
      <c r="L16" s="6">
        <f>K16-K68-K83</f>
        <v>86.699482933862058</v>
      </c>
      <c r="M16" s="6">
        <f>N16+N83</f>
        <v>181.72224570711171</v>
      </c>
      <c r="N16" s="6">
        <f>O16+O83</f>
        <v>181.19378039475896</v>
      </c>
      <c r="O16" s="6">
        <f>P16+P83</f>
        <v>179.67487297424245</v>
      </c>
      <c r="P16" s="46">
        <f>Q16+R8</f>
        <v>178.1279577217982</v>
      </c>
      <c r="Q16" s="3">
        <f>'Reactor sheet'!G8</f>
        <v>175</v>
      </c>
      <c r="R16" s="6">
        <f>Q16-Q68-Q83</f>
        <v>103.73213959140686</v>
      </c>
      <c r="S16">
        <f>R16-R83</f>
        <v>102.68024361003334</v>
      </c>
      <c r="T16" s="6">
        <f>S16-S83</f>
        <v>101.6472741757722</v>
      </c>
      <c r="U16" s="6">
        <f>T16-T83</f>
        <v>100.53166183212126</v>
      </c>
      <c r="V16" s="6">
        <f>W16</f>
        <v>1.2344790131490762</v>
      </c>
      <c r="W16" s="6">
        <f>10^(AK45-AL45/(W15+273+AM45))*W28/W32+10^(AK47-AL47/(W15+273+AM47))*W30/W32</f>
        <v>1.2344790131490762</v>
      </c>
      <c r="X16" s="6">
        <f>10^(AK45-AL45/(X15+273+AM45))*X28/X32+10^(AK47-AL47/(X15+273+AM47))*X30/X32</f>
        <v>1.2344735876174509</v>
      </c>
      <c r="Y16" s="47">
        <v>126.76346047140515</v>
      </c>
      <c r="Z16" s="6">
        <f>Y16-Y83</f>
        <v>124.9146828316575</v>
      </c>
      <c r="AA16" s="6">
        <f>Z16-Z83</f>
        <v>122.91815345623581</v>
      </c>
      <c r="AB16" s="6">
        <f>AA16-AA68-AA83</f>
        <v>85.734771105455508</v>
      </c>
      <c r="AC16" s="6">
        <f>G16</f>
        <v>182.58259155327923</v>
      </c>
      <c r="AD16" s="41">
        <f>AS27</f>
        <v>94.010962122252565</v>
      </c>
      <c r="AF16" s="27" t="s">
        <v>213</v>
      </c>
      <c r="AG16" s="26">
        <v>5</v>
      </c>
      <c r="AH16" s="6"/>
      <c r="AJ16" s="27" t="s">
        <v>213</v>
      </c>
      <c r="AK16" s="26">
        <v>7</v>
      </c>
      <c r="AL16" s="6"/>
      <c r="AN16" s="27" t="s">
        <v>213</v>
      </c>
      <c r="AO16" s="26">
        <v>1</v>
      </c>
      <c r="AP16" s="6"/>
      <c r="AR16" s="27" t="s">
        <v>236</v>
      </c>
      <c r="AS16" s="6">
        <f>L15</f>
        <v>50</v>
      </c>
      <c r="AT16" s="6" t="s">
        <v>212</v>
      </c>
      <c r="AV16" s="27" t="s">
        <v>247</v>
      </c>
      <c r="AW16" s="6">
        <f>M15</f>
        <v>139.56565665490669</v>
      </c>
      <c r="AX16" s="6"/>
      <c r="AY16" s="6"/>
      <c r="BA16" s="27" t="s">
        <v>247</v>
      </c>
      <c r="BB16" s="6">
        <f>O15</f>
        <v>244</v>
      </c>
      <c r="BC16" s="6">
        <f>N15</f>
        <v>153.41141771395365</v>
      </c>
      <c r="BD16" s="6">
        <f>M15</f>
        <v>139.56565665490669</v>
      </c>
      <c r="BE16" s="6">
        <v>23</v>
      </c>
      <c r="BF16" s="6">
        <v>23</v>
      </c>
      <c r="BG16" s="6">
        <v>23</v>
      </c>
      <c r="BH16" s="6">
        <v>23</v>
      </c>
      <c r="BI16" s="6">
        <f>BL21</f>
        <v>105.67187587396462</v>
      </c>
      <c r="BK16" s="27" t="s">
        <v>273</v>
      </c>
      <c r="BL16" s="6">
        <v>1.6</v>
      </c>
      <c r="BM16" s="6"/>
      <c r="BO16" s="27"/>
      <c r="BP16" s="6">
        <f>0.000000000000000335*BP15</f>
        <v>1.675E-12</v>
      </c>
      <c r="BQ16" s="6" t="s">
        <v>292</v>
      </c>
      <c r="BT16" s="27" t="s">
        <v>303</v>
      </c>
      <c r="BU16" s="6">
        <f>'Reactor sheet'!G8</f>
        <v>175</v>
      </c>
      <c r="BV16" s="6">
        <f>BL22</f>
        <v>1.2344735876174509</v>
      </c>
      <c r="BW16" s="6">
        <f>W16</f>
        <v>1.2344790131490762</v>
      </c>
    </row>
    <row r="17" spans="1:75" x14ac:dyDescent="0.2">
      <c r="D17" t="s">
        <v>30</v>
      </c>
      <c r="E17" s="35" t="s">
        <v>18</v>
      </c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F17" s="27" t="s">
        <v>214</v>
      </c>
      <c r="AG17" s="6">
        <v>8</v>
      </c>
      <c r="AH17" s="6" t="s">
        <v>201</v>
      </c>
      <c r="AJ17" s="27" t="s">
        <v>214</v>
      </c>
      <c r="AK17" s="6">
        <v>1</v>
      </c>
      <c r="AL17" s="6" t="s">
        <v>201</v>
      </c>
      <c r="AN17" s="27" t="s">
        <v>214</v>
      </c>
      <c r="AO17" s="6">
        <f>AD16</f>
        <v>94.010962122252565</v>
      </c>
      <c r="AP17" s="6" t="s">
        <v>201</v>
      </c>
      <c r="AR17" s="27" t="s">
        <v>237</v>
      </c>
      <c r="AS17" s="6">
        <f>L16</f>
        <v>86.699482933862058</v>
      </c>
      <c r="AT17" s="6" t="s">
        <v>201</v>
      </c>
      <c r="AV17" s="27" t="s">
        <v>246</v>
      </c>
      <c r="AW17" s="6">
        <f>P15</f>
        <v>249</v>
      </c>
      <c r="AX17" s="6"/>
      <c r="AY17" s="6"/>
      <c r="BA17" s="27" t="s">
        <v>246</v>
      </c>
      <c r="BB17" s="6">
        <f>P15</f>
        <v>249</v>
      </c>
      <c r="BC17" s="6">
        <f>O15</f>
        <v>244</v>
      </c>
      <c r="BD17" s="6">
        <f>N15</f>
        <v>153.41141771395365</v>
      </c>
      <c r="BE17" s="6">
        <f>BE21-5</f>
        <v>45</v>
      </c>
      <c r="BF17" s="6">
        <f>BF21-5</f>
        <v>45</v>
      </c>
      <c r="BG17" s="6">
        <f>BG21-5</f>
        <v>45</v>
      </c>
      <c r="BH17" s="6">
        <f>BH21-5</f>
        <v>65</v>
      </c>
      <c r="BI17" s="6">
        <f>BL21</f>
        <v>105.67187587396462</v>
      </c>
      <c r="BK17" s="27" t="s">
        <v>236</v>
      </c>
      <c r="BL17" s="6">
        <f>Q8</f>
        <v>70</v>
      </c>
      <c r="BM17" s="6" t="s">
        <v>212</v>
      </c>
      <c r="BO17" s="27" t="s">
        <v>293</v>
      </c>
      <c r="BP17" s="6">
        <f>J24</f>
        <v>606.28533648893381</v>
      </c>
      <c r="BQ17" s="6" t="s">
        <v>23</v>
      </c>
      <c r="BT17" s="27" t="s">
        <v>322</v>
      </c>
      <c r="BU17" s="6">
        <f>'Reactor sheet'!AR13</f>
        <v>2.7181157288278146</v>
      </c>
      <c r="BV17" s="6">
        <f>BL28</f>
        <v>3.7316479133790326</v>
      </c>
      <c r="BW17" s="6"/>
    </row>
    <row r="18" spans="1:75" x14ac:dyDescent="0.2">
      <c r="A18">
        <f t="shared" ref="A18:A32" si="0">AC18</f>
        <v>319.56312516872157</v>
      </c>
      <c r="B18">
        <f>A18</f>
        <v>319.56312516872157</v>
      </c>
      <c r="D18">
        <v>44</v>
      </c>
      <c r="E18" s="6" t="s">
        <v>0</v>
      </c>
      <c r="F18" s="6">
        <f>G18</f>
        <v>263.0517078538337</v>
      </c>
      <c r="G18" s="6">
        <f>P18-(P18-H9-L9)*J8*K8-(P18-H9-L9)*(1-J8)</f>
        <v>263.0517078538337</v>
      </c>
      <c r="H18" s="6">
        <f>I18</f>
        <v>0</v>
      </c>
      <c r="I18" s="6">
        <v>0</v>
      </c>
      <c r="J18" s="6">
        <f>Z18*K$8</f>
        <v>37.595661784555482</v>
      </c>
      <c r="K18" s="6">
        <f>(P18-H9-L9)*(1-J8)</f>
        <v>281.96746338416608</v>
      </c>
      <c r="L18" s="6">
        <f>K18</f>
        <v>281.96746338416608</v>
      </c>
      <c r="M18" s="41">
        <f t="shared" ref="M18:M23" si="1">P18</f>
        <v>582.61483302255522</v>
      </c>
      <c r="N18" s="6">
        <f>M18</f>
        <v>582.61483302255522</v>
      </c>
      <c r="O18" s="6">
        <f>M18</f>
        <v>582.61483302255522</v>
      </c>
      <c r="P18" s="47">
        <v>582.61483302255522</v>
      </c>
      <c r="Q18" s="6">
        <f>P18-H9-L9</f>
        <v>375.95661784555477</v>
      </c>
      <c r="R18" s="6">
        <f>Q18</f>
        <v>375.95661784555477</v>
      </c>
      <c r="S18">
        <f>R18</f>
        <v>375.95661784555477</v>
      </c>
      <c r="T18" s="6">
        <f t="shared" ref="T18:T23" si="2">Y18</f>
        <v>375.95661784555477</v>
      </c>
      <c r="U18" s="6">
        <v>0</v>
      </c>
      <c r="V18" s="6">
        <f>U18</f>
        <v>0</v>
      </c>
      <c r="W18" s="6">
        <v>0</v>
      </c>
      <c r="X18" s="6">
        <v>0</v>
      </c>
      <c r="Y18" s="6">
        <f>Q18</f>
        <v>375.95661784555477</v>
      </c>
      <c r="Z18" s="6">
        <f>Y18*$J$8</f>
        <v>93.989154461388694</v>
      </c>
      <c r="AA18" s="6">
        <f t="shared" ref="AA18:AA23" si="3">Z18-J18</f>
        <v>56.393492676833212</v>
      </c>
      <c r="AB18" s="6">
        <f>AA18</f>
        <v>56.393492676833212</v>
      </c>
      <c r="AC18" s="6">
        <f>AD18</f>
        <v>319.56312516872157</v>
      </c>
      <c r="AD18" s="6">
        <f t="shared" ref="AD18:AD23" si="4">J18+L18</f>
        <v>319.56312516872157</v>
      </c>
      <c r="AF18" s="27" t="s">
        <v>215</v>
      </c>
      <c r="AG18" s="6">
        <f>I16</f>
        <v>182.58259155327923</v>
      </c>
      <c r="AH18" s="6" t="s">
        <v>201</v>
      </c>
      <c r="AJ18" s="27" t="s">
        <v>215</v>
      </c>
      <c r="AK18" s="6">
        <f>F16</f>
        <v>183.55691829306161</v>
      </c>
      <c r="AL18" s="6" t="s">
        <v>201</v>
      </c>
      <c r="AN18" s="27" t="s">
        <v>215</v>
      </c>
      <c r="AO18" s="6">
        <f>AC16</f>
        <v>182.58259155327923</v>
      </c>
      <c r="AP18" s="6" t="s">
        <v>201</v>
      </c>
      <c r="AR18" s="27" t="s">
        <v>238</v>
      </c>
      <c r="AS18" s="6">
        <f>L24</f>
        <v>2870.8284988249579</v>
      </c>
      <c r="AT18" s="6" t="s">
        <v>23</v>
      </c>
      <c r="AV18" s="27" t="s">
        <v>251</v>
      </c>
      <c r="AW18" s="28">
        <f>P50-M50</f>
        <v>15785.747769891692</v>
      </c>
      <c r="AX18" s="28">
        <f>Q50-P50</f>
        <v>-13076.478219212819</v>
      </c>
      <c r="AY18" s="28">
        <f>T50-R50</f>
        <v>-41531.623065378371</v>
      </c>
      <c r="BA18" s="27" t="s">
        <v>251</v>
      </c>
      <c r="BB18" s="28">
        <f>ABS(P50-O50)</f>
        <v>726.99806257788441</v>
      </c>
      <c r="BC18" s="28">
        <f>ABS(O50-N50)</f>
        <v>13076.478219831275</v>
      </c>
      <c r="BD18" s="28">
        <f>ABS(N50-M50)</f>
        <v>1982.2714874825324</v>
      </c>
      <c r="BE18" s="28">
        <f>ABS(T50-S50)</f>
        <v>39549.350967841136</v>
      </c>
      <c r="BF18" s="6">
        <f>ABS(AG31)</f>
        <v>1692.4597628400895</v>
      </c>
      <c r="BG18" s="6">
        <f>ABS(AK31)</f>
        <v>1613.2449691260749</v>
      </c>
      <c r="BH18" s="6">
        <f>BL19</f>
        <v>16607.805508310052</v>
      </c>
      <c r="BI18" s="6">
        <f>BL23</f>
        <v>22164.06349408094</v>
      </c>
      <c r="BK18" s="27" t="s">
        <v>237</v>
      </c>
      <c r="BL18" s="6">
        <f>W16</f>
        <v>1.2344790131490762</v>
      </c>
      <c r="BM18" s="6" t="s">
        <v>277</v>
      </c>
      <c r="BO18" s="27" t="s">
        <v>294</v>
      </c>
      <c r="BP18" s="28">
        <v>5.0000000000000002E-5</v>
      </c>
      <c r="BQ18" s="6" t="s">
        <v>189</v>
      </c>
      <c r="BT18" s="27" t="s">
        <v>323</v>
      </c>
      <c r="BU18" s="6">
        <f>'Reactor sheet'!AR14</f>
        <v>13.590578644139073</v>
      </c>
      <c r="BV18" s="6">
        <f>BL30</f>
        <v>14.5</v>
      </c>
      <c r="BW18" s="6"/>
    </row>
    <row r="19" spans="1:75" x14ac:dyDescent="0.2">
      <c r="A19">
        <f t="shared" si="0"/>
        <v>1686.5063799223221</v>
      </c>
      <c r="B19">
        <f t="shared" ref="B19:B32" si="5">A19</f>
        <v>1686.5063799223221</v>
      </c>
      <c r="D19">
        <v>2</v>
      </c>
      <c r="E19" s="6" t="s">
        <v>1</v>
      </c>
      <c r="F19" s="6">
        <f t="shared" ref="F19:F23" si="6">G19</f>
        <v>0</v>
      </c>
      <c r="G19" s="6">
        <v>0</v>
      </c>
      <c r="H19" s="6">
        <f t="shared" ref="H19:H23" si="7">I19</f>
        <v>643.95295216789873</v>
      </c>
      <c r="I19" s="6">
        <f>P19-J19-K19</f>
        <v>643.95295216789873</v>
      </c>
      <c r="J19" s="6">
        <f>Z19*L8</f>
        <v>395.62563585463147</v>
      </c>
      <c r="K19" s="6">
        <f>Y19*(1-J$8)</f>
        <v>1290.8807440676906</v>
      </c>
      <c r="L19" s="6">
        <f t="shared" ref="L19:L23" si="8">K19</f>
        <v>1290.8807440676906</v>
      </c>
      <c r="M19" s="41">
        <f t="shared" si="1"/>
        <v>2330.4593320902209</v>
      </c>
      <c r="N19" s="6">
        <f t="shared" ref="N19:N31" si="9">M19</f>
        <v>2330.4593320902209</v>
      </c>
      <c r="O19" s="6">
        <f t="shared" ref="O19:O31" si="10">M19</f>
        <v>2330.4593320902209</v>
      </c>
      <c r="P19" s="6">
        <f>G8*P18</f>
        <v>2330.4593320902209</v>
      </c>
      <c r="Q19" s="6">
        <f>P19-3*H9-L9</f>
        <v>1721.1743254235876</v>
      </c>
      <c r="R19" s="6">
        <f>Q19</f>
        <v>1721.1743254235876</v>
      </c>
      <c r="S19">
        <f t="shared" ref="S19:S31" si="11">R19</f>
        <v>1721.1743254235876</v>
      </c>
      <c r="T19" s="6">
        <f t="shared" si="2"/>
        <v>1721.1743254235876</v>
      </c>
      <c r="U19" s="6">
        <v>0</v>
      </c>
      <c r="V19" s="6">
        <f t="shared" ref="V19:V23" si="12">U19</f>
        <v>0</v>
      </c>
      <c r="W19" s="6">
        <v>0</v>
      </c>
      <c r="X19" s="6">
        <v>0</v>
      </c>
      <c r="Y19" s="6">
        <f>Q19</f>
        <v>1721.1743254235876</v>
      </c>
      <c r="Z19" s="6">
        <f t="shared" ref="Z19:Z23" si="13">Y19*$J$8</f>
        <v>430.29358135589689</v>
      </c>
      <c r="AA19" s="6">
        <f t="shared" si="3"/>
        <v>34.667945501265422</v>
      </c>
      <c r="AB19" s="6">
        <f t="shared" ref="AB19:AB31" si="14">AA19</f>
        <v>34.667945501265422</v>
      </c>
      <c r="AC19" s="6">
        <f t="shared" ref="AC19:AC23" si="15">AD19</f>
        <v>1686.5063799223221</v>
      </c>
      <c r="AD19" s="6">
        <f t="shared" si="4"/>
        <v>1686.5063799223221</v>
      </c>
      <c r="AF19" s="27" t="s">
        <v>216</v>
      </c>
      <c r="AG19" s="6">
        <f>(AG18/AG17)^(1/AG16)</f>
        <v>1.869277919676732</v>
      </c>
      <c r="AH19" s="6"/>
      <c r="AJ19" s="27" t="s">
        <v>216</v>
      </c>
      <c r="AK19" s="6">
        <f>(AK18/AK17)^(1/AK16)</f>
        <v>2.1056967292113447</v>
      </c>
      <c r="AL19" s="6"/>
      <c r="AN19" s="27" t="s">
        <v>216</v>
      </c>
      <c r="AO19" s="6">
        <f>(AO18/AO17)^(1/AO16)</f>
        <v>1.9421415059644582</v>
      </c>
      <c r="AP19" s="6"/>
      <c r="AR19" s="27" t="s">
        <v>219</v>
      </c>
      <c r="AS19" s="54">
        <v>30.654425583460288</v>
      </c>
      <c r="AT19" s="6" t="s">
        <v>220</v>
      </c>
      <c r="AV19" s="27" t="s">
        <v>249</v>
      </c>
      <c r="AW19" s="6"/>
      <c r="AX19" s="6" t="s">
        <v>10</v>
      </c>
      <c r="AY19" s="41" t="s">
        <v>177</v>
      </c>
      <c r="BA19" s="27" t="s">
        <v>249</v>
      </c>
      <c r="BB19" s="6" t="s">
        <v>264</v>
      </c>
      <c r="BC19" s="6" t="s">
        <v>10</v>
      </c>
      <c r="BD19" s="41" t="s">
        <v>177</v>
      </c>
      <c r="BE19" s="41" t="s">
        <v>258</v>
      </c>
      <c r="BF19" s="41" t="s">
        <v>308</v>
      </c>
      <c r="BG19" s="6" t="s">
        <v>309</v>
      </c>
      <c r="BH19" s="6" t="s">
        <v>284</v>
      </c>
      <c r="BI19" s="6" t="s">
        <v>286</v>
      </c>
      <c r="BK19" s="27" t="s">
        <v>248</v>
      </c>
      <c r="BL19" s="6">
        <f>40.86*BL14</f>
        <v>16607.805508310052</v>
      </c>
      <c r="BM19" s="6" t="s">
        <v>99</v>
      </c>
      <c r="BO19" s="27" t="s">
        <v>295</v>
      </c>
      <c r="BP19" s="6">
        <f>P8*100000</f>
        <v>4000000</v>
      </c>
      <c r="BQ19" s="6" t="s">
        <v>199</v>
      </c>
      <c r="BT19" s="27" t="s">
        <v>324</v>
      </c>
      <c r="BU19" s="6">
        <f>BU18/BU17</f>
        <v>5</v>
      </c>
      <c r="BV19" s="6">
        <f>BV18/BV17</f>
        <v>3.8856827698061553</v>
      </c>
      <c r="BW19" s="6"/>
    </row>
    <row r="20" spans="1:75" x14ac:dyDescent="0.2">
      <c r="A20">
        <f t="shared" si="0"/>
        <v>6.9649722802597118</v>
      </c>
      <c r="B20">
        <f t="shared" si="5"/>
        <v>6.9649722802597118</v>
      </c>
      <c r="D20">
        <v>32</v>
      </c>
      <c r="E20" s="6" t="s">
        <v>2</v>
      </c>
      <c r="F20" s="6">
        <f t="shared" si="6"/>
        <v>0</v>
      </c>
      <c r="G20" s="6">
        <v>0</v>
      </c>
      <c r="H20" s="6">
        <f t="shared" si="7"/>
        <v>0</v>
      </c>
      <c r="I20" s="6">
        <v>0</v>
      </c>
      <c r="J20" s="6">
        <f>Z20*K$8</f>
        <v>0.81940850355996619</v>
      </c>
      <c r="K20" s="6">
        <f>Y20*(1-J$8)</f>
        <v>6.1455637766997455</v>
      </c>
      <c r="L20" s="6">
        <f t="shared" si="8"/>
        <v>6.1455637766997455</v>
      </c>
      <c r="M20" s="41">
        <f t="shared" si="1"/>
        <v>6.9649722802597118</v>
      </c>
      <c r="N20" s="6">
        <f t="shared" si="9"/>
        <v>6.9649722802597118</v>
      </c>
      <c r="O20" s="6">
        <f t="shared" si="10"/>
        <v>6.9649722802597118</v>
      </c>
      <c r="P20" s="6">
        <f>K20+J20</f>
        <v>6.9649722802597118</v>
      </c>
      <c r="Q20" s="6">
        <f>H9+P20</f>
        <v>208.27836802507608</v>
      </c>
      <c r="R20" s="6">
        <f>Q20</f>
        <v>208.27836802507608</v>
      </c>
      <c r="S20">
        <f t="shared" si="11"/>
        <v>208.27836802507608</v>
      </c>
      <c r="T20" s="6">
        <f t="shared" si="2"/>
        <v>8.1940850355996613</v>
      </c>
      <c r="U20" s="6">
        <v>0</v>
      </c>
      <c r="V20" s="6">
        <f t="shared" si="12"/>
        <v>0</v>
      </c>
      <c r="W20" s="6">
        <v>0</v>
      </c>
      <c r="X20" s="6">
        <v>0</v>
      </c>
      <c r="Y20" s="6">
        <f>Y24*Y13</f>
        <v>8.1940850355996613</v>
      </c>
      <c r="Z20" s="6">
        <f t="shared" si="13"/>
        <v>2.0485212588999153</v>
      </c>
      <c r="AA20" s="6">
        <f t="shared" si="3"/>
        <v>1.229112755339949</v>
      </c>
      <c r="AB20" s="6">
        <f t="shared" si="14"/>
        <v>1.229112755339949</v>
      </c>
      <c r="AC20" s="6">
        <f t="shared" si="15"/>
        <v>6.9649722802597118</v>
      </c>
      <c r="AD20" s="6">
        <f t="shared" si="4"/>
        <v>6.9649722802597118</v>
      </c>
      <c r="AF20" s="27" t="s">
        <v>219</v>
      </c>
      <c r="AG20" s="6">
        <v>29.028044508666667</v>
      </c>
      <c r="AH20" s="6" t="s">
        <v>220</v>
      </c>
      <c r="AJ20" s="27" t="s">
        <v>219</v>
      </c>
      <c r="AK20" s="6">
        <v>34.659471711999984</v>
      </c>
      <c r="AL20" s="6" t="s">
        <v>220</v>
      </c>
      <c r="AN20" s="27" t="s">
        <v>219</v>
      </c>
      <c r="AO20" s="54">
        <v>30.5954601296514</v>
      </c>
      <c r="AP20" s="6" t="s">
        <v>220</v>
      </c>
      <c r="AR20" s="27" t="s">
        <v>221</v>
      </c>
      <c r="AS20" s="6">
        <v>1.3721504753318245</v>
      </c>
      <c r="AT20" s="6"/>
      <c r="AV20" s="27" t="s">
        <v>247</v>
      </c>
      <c r="AW20" s="6"/>
      <c r="AX20" s="6">
        <f>P15</f>
        <v>249</v>
      </c>
      <c r="AY20" s="6">
        <f>R15</f>
        <v>249</v>
      </c>
      <c r="BA20" s="27" t="s">
        <v>247</v>
      </c>
      <c r="BB20" s="6">
        <v>254</v>
      </c>
      <c r="BC20" s="6">
        <f>P15</f>
        <v>249</v>
      </c>
      <c r="BD20" s="6">
        <f>R15</f>
        <v>249</v>
      </c>
      <c r="BE20" s="6">
        <f>S15</f>
        <v>234.40966172955169</v>
      </c>
      <c r="BF20" s="6">
        <f>AG27</f>
        <v>140.54123906327141</v>
      </c>
      <c r="BG20" s="6">
        <f>AK27</f>
        <v>140.24173384135258</v>
      </c>
      <c r="BH20" s="6">
        <f>BL17</f>
        <v>70</v>
      </c>
      <c r="BI20" s="6">
        <v>160</v>
      </c>
      <c r="BK20" s="20" t="s">
        <v>280</v>
      </c>
      <c r="BL20" s="20"/>
      <c r="BM20" s="20"/>
      <c r="BO20" s="27" t="s">
        <v>291</v>
      </c>
      <c r="BP20" s="28">
        <f>BP16*BP19/BP18</f>
        <v>0.13400000000000001</v>
      </c>
      <c r="BQ20" s="6" t="s">
        <v>296</v>
      </c>
      <c r="BT20" s="27" t="s">
        <v>325</v>
      </c>
      <c r="BU20" s="6">
        <f>PI()*(BU17)^2/4*BU18</f>
        <v>78.861260917973567</v>
      </c>
      <c r="BV20" s="6">
        <f>PI()*(BV17)^2/4*BV18</f>
        <v>158.58394047027278</v>
      </c>
      <c r="BW20" s="6"/>
    </row>
    <row r="21" spans="1:75" x14ac:dyDescent="0.2">
      <c r="A21">
        <f t="shared" si="0"/>
        <v>30.28731011570974</v>
      </c>
      <c r="B21">
        <f t="shared" si="5"/>
        <v>30.28731011570974</v>
      </c>
      <c r="D21">
        <v>28</v>
      </c>
      <c r="E21" s="6" t="s">
        <v>3</v>
      </c>
      <c r="F21" s="6">
        <f t="shared" si="6"/>
        <v>0</v>
      </c>
      <c r="G21" s="6">
        <v>0</v>
      </c>
      <c r="H21" s="6">
        <f t="shared" si="7"/>
        <v>0</v>
      </c>
      <c r="I21" s="6">
        <v>0</v>
      </c>
      <c r="J21" s="6">
        <f>Z21*K$8</f>
        <v>3.5632129547893814</v>
      </c>
      <c r="K21" s="6">
        <f>Y21*(1-J$8)</f>
        <v>26.724097160920358</v>
      </c>
      <c r="L21" s="6">
        <f t="shared" si="8"/>
        <v>26.724097160920358</v>
      </c>
      <c r="M21" s="41">
        <f t="shared" si="1"/>
        <v>30.28731011570974</v>
      </c>
      <c r="N21" s="6">
        <f t="shared" si="9"/>
        <v>30.28731011570974</v>
      </c>
      <c r="O21" s="6">
        <f t="shared" si="10"/>
        <v>30.28731011570974</v>
      </c>
      <c r="P21" s="6">
        <f>(L9*J8*K8+L9*(1-J8))/(1-J8*K8-(1-J8))</f>
        <v>30.28731011570974</v>
      </c>
      <c r="Q21" s="6">
        <f>P21+L9</f>
        <v>35.632129547893811</v>
      </c>
      <c r="R21" s="6">
        <f>Q21</f>
        <v>35.632129547893811</v>
      </c>
      <c r="S21">
        <f t="shared" si="11"/>
        <v>35.632129547893811</v>
      </c>
      <c r="T21" s="6">
        <f t="shared" si="2"/>
        <v>35.632129547893811</v>
      </c>
      <c r="U21" s="6">
        <v>0</v>
      </c>
      <c r="V21" s="6">
        <f t="shared" si="12"/>
        <v>0</v>
      </c>
      <c r="W21" s="6">
        <v>0</v>
      </c>
      <c r="X21" s="6">
        <v>0</v>
      </c>
      <c r="Y21" s="6">
        <f>Q21</f>
        <v>35.632129547893811</v>
      </c>
      <c r="Z21" s="6">
        <f>Y21*$J$8</f>
        <v>8.9080323869734528</v>
      </c>
      <c r="AA21" s="6">
        <f t="shared" si="3"/>
        <v>5.344819432184071</v>
      </c>
      <c r="AB21" s="6">
        <f t="shared" si="14"/>
        <v>5.344819432184071</v>
      </c>
      <c r="AC21" s="6">
        <f t="shared" si="15"/>
        <v>30.28731011570974</v>
      </c>
      <c r="AD21" s="6">
        <f t="shared" si="4"/>
        <v>30.28731011570974</v>
      </c>
      <c r="AF21" s="27" t="s">
        <v>221</v>
      </c>
      <c r="AG21" s="6">
        <v>1.4013701909601217</v>
      </c>
      <c r="AH21" s="6"/>
      <c r="AJ21" s="27" t="s">
        <v>221</v>
      </c>
      <c r="AK21" s="6">
        <v>1.3155760538617758</v>
      </c>
      <c r="AL21" s="6"/>
      <c r="AN21" s="27" t="s">
        <v>221</v>
      </c>
      <c r="AO21" s="6">
        <v>1.3731353309712417</v>
      </c>
      <c r="AP21" s="6"/>
      <c r="AR21" s="20" t="s">
        <v>239</v>
      </c>
      <c r="AS21" s="6"/>
      <c r="AT21" s="6"/>
      <c r="AV21" s="27" t="s">
        <v>246</v>
      </c>
      <c r="AW21" s="6"/>
      <c r="AX21" s="6">
        <f>Q15</f>
        <v>249</v>
      </c>
      <c r="AY21" s="6">
        <f>T15</f>
        <v>50</v>
      </c>
      <c r="BA21" s="27" t="s">
        <v>246</v>
      </c>
      <c r="BB21" s="6">
        <v>254</v>
      </c>
      <c r="BC21" s="6">
        <f>Q15</f>
        <v>249</v>
      </c>
      <c r="BD21" s="6">
        <f>S15</f>
        <v>234.40966172955169</v>
      </c>
      <c r="BE21" s="6">
        <f>T15</f>
        <v>50</v>
      </c>
      <c r="BF21" s="6">
        <f>AG15</f>
        <v>50</v>
      </c>
      <c r="BG21" s="6">
        <f>AK15</f>
        <v>50</v>
      </c>
      <c r="BH21" s="6">
        <f>BL17</f>
        <v>70</v>
      </c>
      <c r="BI21" s="6">
        <v>160</v>
      </c>
      <c r="BK21" s="27" t="s">
        <v>236</v>
      </c>
      <c r="BL21" s="6">
        <f>X15</f>
        <v>105.67187587396462</v>
      </c>
      <c r="BM21" s="6" t="s">
        <v>212</v>
      </c>
      <c r="BO21" s="27" t="s">
        <v>297</v>
      </c>
      <c r="BP21" s="28">
        <f>BP17/BP20</f>
        <v>4524.5174364845807</v>
      </c>
      <c r="BQ21" s="6" t="s">
        <v>298</v>
      </c>
      <c r="BT21" s="27" t="s">
        <v>326</v>
      </c>
      <c r="BU21" s="6" t="s">
        <v>327</v>
      </c>
      <c r="BV21" s="6" t="s">
        <v>327</v>
      </c>
      <c r="BW21" s="6"/>
    </row>
    <row r="22" spans="1:75" x14ac:dyDescent="0.2">
      <c r="A22">
        <f t="shared" si="0"/>
        <v>1.6216384004508162</v>
      </c>
      <c r="B22">
        <f t="shared" si="5"/>
        <v>1.6216384004508162</v>
      </c>
      <c r="D22">
        <v>18</v>
      </c>
      <c r="E22" s="6" t="s">
        <v>4</v>
      </c>
      <c r="F22" s="6">
        <f t="shared" si="6"/>
        <v>0</v>
      </c>
      <c r="G22" s="6">
        <v>0</v>
      </c>
      <c r="H22" s="6">
        <f t="shared" si="7"/>
        <v>0</v>
      </c>
      <c r="I22" s="6">
        <v>0</v>
      </c>
      <c r="J22" s="6">
        <f>Z22*K$8</f>
        <v>0.19078098828833134</v>
      </c>
      <c r="K22" s="6">
        <f>Y22*(1-J$8)</f>
        <v>1.4308574121624849</v>
      </c>
      <c r="L22" s="6">
        <f t="shared" si="8"/>
        <v>1.4308574121624849</v>
      </c>
      <c r="M22" s="41">
        <f t="shared" si="1"/>
        <v>1.6216384004508162</v>
      </c>
      <c r="N22" s="6">
        <f t="shared" si="9"/>
        <v>1.6216384004508162</v>
      </c>
      <c r="O22" s="6">
        <f t="shared" si="10"/>
        <v>1.6216384004508162</v>
      </c>
      <c r="P22" s="6">
        <f>K22+J22</f>
        <v>1.6216384004508162</v>
      </c>
      <c r="Q22" s="6">
        <f>H9+L9+P22</f>
        <v>208.27985357745126</v>
      </c>
      <c r="R22" s="6">
        <f>Q22</f>
        <v>208.27985357745126</v>
      </c>
      <c r="S22">
        <f t="shared" si="11"/>
        <v>208.27985357745126</v>
      </c>
      <c r="T22" s="6">
        <f t="shared" si="2"/>
        <v>1.9078098828833132</v>
      </c>
      <c r="U22" s="6">
        <v>0</v>
      </c>
      <c r="V22" s="6">
        <f t="shared" si="12"/>
        <v>0</v>
      </c>
      <c r="W22" s="6">
        <v>0</v>
      </c>
      <c r="X22" s="6">
        <v>0</v>
      </c>
      <c r="Y22" s="6">
        <f>Y24*Y12</f>
        <v>1.9078098828833132</v>
      </c>
      <c r="Z22" s="6">
        <f t="shared" si="13"/>
        <v>0.4769524707208283</v>
      </c>
      <c r="AA22" s="6">
        <f t="shared" si="3"/>
        <v>0.28617148243249696</v>
      </c>
      <c r="AB22" s="6">
        <f t="shared" si="14"/>
        <v>0.28617148243249696</v>
      </c>
      <c r="AC22" s="6">
        <f t="shared" si="15"/>
        <v>1.6216384004508162</v>
      </c>
      <c r="AD22" s="6">
        <f t="shared" si="4"/>
        <v>1.6216384004508162</v>
      </c>
      <c r="AF22" s="27" t="s">
        <v>222</v>
      </c>
      <c r="AG22" s="6">
        <f>(AG15+273)*AG19^((AG21-1)/AG21)-273</f>
        <v>113.37886734428997</v>
      </c>
      <c r="AH22" s="6" t="s">
        <v>212</v>
      </c>
      <c r="AJ22" s="27" t="s">
        <v>222</v>
      </c>
      <c r="AK22" s="6">
        <f>(AK15+273)*AK19^((AK21-1)/AK21)-273</f>
        <v>113.1692136889468</v>
      </c>
      <c r="AL22" s="6" t="s">
        <v>212</v>
      </c>
      <c r="AN22" s="27" t="s">
        <v>222</v>
      </c>
      <c r="AO22" s="6">
        <f>(AO15+273)*AO19^((AO21-1)/AO21)-273</f>
        <v>113.84756584248152</v>
      </c>
      <c r="AP22" s="6" t="s">
        <v>212</v>
      </c>
      <c r="AR22" s="27" t="s">
        <v>236</v>
      </c>
      <c r="AS22" s="6">
        <f>J15</f>
        <v>50</v>
      </c>
      <c r="AT22" s="6" t="s">
        <v>212</v>
      </c>
      <c r="BA22" s="27" t="s">
        <v>310</v>
      </c>
      <c r="BB22" s="6">
        <f>(BB20-BB21)/(BB17-BB16)</f>
        <v>0</v>
      </c>
      <c r="BC22" s="6">
        <f t="shared" ref="BC22:BI22" si="16">(BC20-BC21)/(BC17-BC16)</f>
        <v>0</v>
      </c>
      <c r="BD22" s="6">
        <f t="shared" si="16"/>
        <v>1.0537765463542241</v>
      </c>
      <c r="BE22" s="6">
        <f t="shared" si="16"/>
        <v>8.3822573513432577</v>
      </c>
      <c r="BF22" s="6">
        <f t="shared" si="16"/>
        <v>4.115510866512337</v>
      </c>
      <c r="BG22" s="6">
        <f t="shared" si="16"/>
        <v>4.1018969927887534</v>
      </c>
      <c r="BH22" s="6">
        <f t="shared" si="16"/>
        <v>0</v>
      </c>
      <c r="BI22" s="6" t="e">
        <f t="shared" si="16"/>
        <v>#DIV/0!</v>
      </c>
      <c r="BK22" s="27" t="s">
        <v>237</v>
      </c>
      <c r="BL22" s="6">
        <f>X16</f>
        <v>1.2344735876174509</v>
      </c>
      <c r="BM22" s="6" t="s">
        <v>277</v>
      </c>
      <c r="BO22" s="27" t="s">
        <v>299</v>
      </c>
      <c r="BP22" s="28">
        <f>100*BP21</f>
        <v>452451.74364845804</v>
      </c>
      <c r="BQ22" s="6" t="s">
        <v>300</v>
      </c>
      <c r="BR22" t="s">
        <v>301</v>
      </c>
      <c r="BT22" s="61" t="s">
        <v>328</v>
      </c>
      <c r="BU22" s="6">
        <v>7500</v>
      </c>
      <c r="BV22" s="6">
        <v>7501</v>
      </c>
      <c r="BW22" s="6"/>
    </row>
    <row r="23" spans="1:75" x14ac:dyDescent="0.2">
      <c r="A23">
        <f t="shared" si="0"/>
        <v>1432.1704094264278</v>
      </c>
      <c r="B23">
        <f t="shared" si="5"/>
        <v>1432.1704094264278</v>
      </c>
      <c r="D23">
        <v>28</v>
      </c>
      <c r="E23" s="6" t="s">
        <v>5</v>
      </c>
      <c r="F23" s="6">
        <f t="shared" si="6"/>
        <v>252.73595460466376</v>
      </c>
      <c r="G23" s="6">
        <f>G18*(1-F8)/F8</f>
        <v>252.73595460466376</v>
      </c>
      <c r="H23" s="6">
        <f t="shared" si="7"/>
        <v>0</v>
      </c>
      <c r="I23" s="6">
        <v>0</v>
      </c>
      <c r="J23" s="6">
        <f>Z23*K$8</f>
        <v>168.49063640310916</v>
      </c>
      <c r="K23" s="6">
        <f>Y23*(1-J$8)</f>
        <v>1263.6797730233186</v>
      </c>
      <c r="L23" s="6">
        <f t="shared" si="8"/>
        <v>1263.6797730233186</v>
      </c>
      <c r="M23" s="41">
        <f t="shared" si="1"/>
        <v>1684.9063640310915</v>
      </c>
      <c r="N23" s="6">
        <f t="shared" si="9"/>
        <v>1684.9063640310915</v>
      </c>
      <c r="O23" s="6">
        <f t="shared" si="10"/>
        <v>1684.9063640310915</v>
      </c>
      <c r="P23" s="6">
        <f>G23/(1-(K8*J8+(1-J8)))</f>
        <v>1684.9063640310915</v>
      </c>
      <c r="Q23" s="6">
        <f>P23</f>
        <v>1684.9063640310915</v>
      </c>
      <c r="R23" s="6">
        <f>Q23</f>
        <v>1684.9063640310915</v>
      </c>
      <c r="S23">
        <f t="shared" si="11"/>
        <v>1684.9063640310915</v>
      </c>
      <c r="T23" s="6">
        <f t="shared" si="2"/>
        <v>1684.9063640310915</v>
      </c>
      <c r="U23" s="6">
        <v>0</v>
      </c>
      <c r="V23" s="6">
        <f t="shared" si="12"/>
        <v>0</v>
      </c>
      <c r="W23" s="6">
        <v>0</v>
      </c>
      <c r="X23" s="6">
        <v>0</v>
      </c>
      <c r="Y23" s="6">
        <f>Q23</f>
        <v>1684.9063640310915</v>
      </c>
      <c r="Z23" s="6">
        <f t="shared" si="13"/>
        <v>421.22659100777287</v>
      </c>
      <c r="AA23" s="6">
        <f t="shared" si="3"/>
        <v>252.7359546046637</v>
      </c>
      <c r="AB23" s="6">
        <f t="shared" si="14"/>
        <v>252.7359546046637</v>
      </c>
      <c r="AC23" s="6">
        <f t="shared" si="15"/>
        <v>1432.1704094264278</v>
      </c>
      <c r="AD23" s="6">
        <f t="shared" si="4"/>
        <v>1432.1704094264278</v>
      </c>
      <c r="AF23" s="27" t="s">
        <v>223</v>
      </c>
      <c r="AG23" s="6">
        <f>I24</f>
        <v>643.95295216789873</v>
      </c>
      <c r="AH23" s="6" t="s">
        <v>23</v>
      </c>
      <c r="AJ23" s="27" t="s">
        <v>223</v>
      </c>
      <c r="AK23" s="6">
        <f>G24</f>
        <v>515.78766245849749</v>
      </c>
      <c r="AL23" s="6" t="s">
        <v>23</v>
      </c>
      <c r="AN23" s="27" t="s">
        <v>223</v>
      </c>
      <c r="AO23" s="6">
        <f>AD24</f>
        <v>3477.1138353138917</v>
      </c>
      <c r="AP23" s="6" t="s">
        <v>23</v>
      </c>
      <c r="AR23" s="27" t="s">
        <v>237</v>
      </c>
      <c r="AS23" s="6">
        <f>J16</f>
        <v>82.918153456235814</v>
      </c>
      <c r="AT23" s="6" t="s">
        <v>201</v>
      </c>
      <c r="BA23" s="27" t="s">
        <v>237</v>
      </c>
      <c r="BB23" s="6">
        <f>(BB17-BB16)/(BB20-BB16)</f>
        <v>0.5</v>
      </c>
      <c r="BC23" s="6">
        <f t="shared" ref="BC23:BI23" si="17">(BC17-BC16)/(BC20-BC16)</f>
        <v>0.94769249757217211</v>
      </c>
      <c r="BD23" s="6">
        <f t="shared" si="17"/>
        <v>0.12652116909392289</v>
      </c>
      <c r="BE23" s="6">
        <f t="shared" si="17"/>
        <v>0.10406336124856848</v>
      </c>
      <c r="BF23" s="6">
        <f t="shared" si="17"/>
        <v>0.18716835193610301</v>
      </c>
      <c r="BG23" s="6">
        <f t="shared" si="17"/>
        <v>0.18764649139162023</v>
      </c>
      <c r="BH23" s="6">
        <f t="shared" si="17"/>
        <v>0.8936170212765957</v>
      </c>
      <c r="BI23" s="6">
        <f t="shared" si="17"/>
        <v>0</v>
      </c>
      <c r="BK23" s="27" t="s">
        <v>248</v>
      </c>
      <c r="BL23" s="6">
        <f>54.53*BL14</f>
        <v>22164.06349408094</v>
      </c>
      <c r="BM23" s="6" t="s">
        <v>99</v>
      </c>
      <c r="BT23" s="27" t="s">
        <v>329</v>
      </c>
      <c r="BU23" s="6">
        <f>1300*3/4</f>
        <v>975</v>
      </c>
      <c r="BV23" s="6">
        <f>1300*3/4</f>
        <v>975</v>
      </c>
      <c r="BW23" s="6"/>
    </row>
    <row r="24" spans="1:75" x14ac:dyDescent="0.2">
      <c r="A24">
        <f t="shared" si="0"/>
        <v>3477.1138353138917</v>
      </c>
      <c r="B24">
        <f t="shared" si="5"/>
        <v>3477.1138353138917</v>
      </c>
      <c r="E24" s="36" t="s">
        <v>78</v>
      </c>
      <c r="F24" s="36">
        <f>SUM(F18:F23)</f>
        <v>515.78766245849749</v>
      </c>
      <c r="G24" s="36">
        <f>SUM(G18:G23)</f>
        <v>515.78766245849749</v>
      </c>
      <c r="H24" s="36">
        <f t="shared" ref="H24:O24" si="18">SUM(H18:H23)</f>
        <v>643.95295216789873</v>
      </c>
      <c r="I24" s="36">
        <f t="shared" si="18"/>
        <v>643.95295216789873</v>
      </c>
      <c r="J24" s="36">
        <f>SUM(J18:J23)</f>
        <v>606.28533648893381</v>
      </c>
      <c r="K24" s="36">
        <f t="shared" si="18"/>
        <v>2870.8284988249579</v>
      </c>
      <c r="L24" s="36">
        <f t="shared" si="18"/>
        <v>2870.8284988249579</v>
      </c>
      <c r="M24" s="36">
        <f t="shared" si="18"/>
        <v>4636.8544499402869</v>
      </c>
      <c r="N24" s="36">
        <f t="shared" si="18"/>
        <v>4636.8544499402869</v>
      </c>
      <c r="O24" s="36">
        <f t="shared" si="18"/>
        <v>4636.8544499402869</v>
      </c>
      <c r="P24" s="36">
        <f t="shared" ref="P24:V24" si="19">SUM(P18:P23)</f>
        <v>4636.8544499402869</v>
      </c>
      <c r="Q24" s="36">
        <f t="shared" si="19"/>
        <v>4234.2276584506544</v>
      </c>
      <c r="R24" s="36">
        <f t="shared" si="19"/>
        <v>4234.2276584506544</v>
      </c>
      <c r="S24" s="36">
        <f t="shared" si="19"/>
        <v>4234.2276584506544</v>
      </c>
      <c r="T24" s="36">
        <f t="shared" si="19"/>
        <v>3827.7713317666103</v>
      </c>
      <c r="U24" s="36">
        <f t="shared" si="19"/>
        <v>0</v>
      </c>
      <c r="V24" s="36">
        <f t="shared" si="19"/>
        <v>0</v>
      </c>
      <c r="W24" s="36">
        <f>SUM(W18:W23)</f>
        <v>0</v>
      </c>
      <c r="X24" s="36">
        <f>SUM(X18:X23)</f>
        <v>0</v>
      </c>
      <c r="Y24" s="36">
        <f>(Y18+Y19+Y21+Y23)/(1-Y12-Y13)</f>
        <v>3827.7713317666103</v>
      </c>
      <c r="Z24" s="36">
        <f>SUM(Z18:Z23)</f>
        <v>956.94283294165257</v>
      </c>
      <c r="AA24" s="36">
        <f>SUM(AA18:AA23)</f>
        <v>350.65749645271887</v>
      </c>
      <c r="AB24" s="36">
        <f>SUM(AB18:AB23)</f>
        <v>350.65749645271887</v>
      </c>
      <c r="AC24" s="36">
        <f>SUM(AC18:AC23)</f>
        <v>3477.1138353138917</v>
      </c>
      <c r="AD24" s="36">
        <f>SUM(AD18:AD23)</f>
        <v>3477.1138353138917</v>
      </c>
      <c r="AF24" s="27" t="s">
        <v>224</v>
      </c>
      <c r="AG24" s="6">
        <f>AG23*AG20*(AG22-AG15)/1000</f>
        <v>1184.7218339880626</v>
      </c>
      <c r="AH24" s="6" t="s">
        <v>99</v>
      </c>
      <c r="AJ24" s="27" t="s">
        <v>224</v>
      </c>
      <c r="AK24" s="6">
        <f>AK23*AK20*(AK22-AK15)/1000</f>
        <v>1129.2714783882523</v>
      </c>
      <c r="AL24" s="6" t="s">
        <v>99</v>
      </c>
      <c r="AN24" s="27" t="s">
        <v>224</v>
      </c>
      <c r="AO24" s="6">
        <f>AO23*AO20*(AO22-AO15)/1000</f>
        <v>6792.3529139130897</v>
      </c>
      <c r="AP24" s="6" t="s">
        <v>99</v>
      </c>
      <c r="AR24" s="27" t="s">
        <v>238</v>
      </c>
      <c r="AS24" s="6">
        <f>J24</f>
        <v>606.28533648893381</v>
      </c>
      <c r="AT24" s="6" t="s">
        <v>23</v>
      </c>
      <c r="BA24" s="27" t="s">
        <v>311</v>
      </c>
      <c r="BB24" s="6">
        <v>1</v>
      </c>
      <c r="BC24" s="6">
        <v>1</v>
      </c>
      <c r="BD24" s="6">
        <f t="shared" ref="BD24:BG24" si="20">ROUNDUP(LN((1-BD22*BD23)/(1-BD23))/LN(1/BD22),0)</f>
        <v>1</v>
      </c>
      <c r="BE24" s="6">
        <f t="shared" si="20"/>
        <v>1</v>
      </c>
      <c r="BF24" s="6">
        <f t="shared" si="20"/>
        <v>1</v>
      </c>
      <c r="BG24" s="6">
        <f t="shared" si="20"/>
        <v>1</v>
      </c>
      <c r="BH24" s="6">
        <v>1</v>
      </c>
      <c r="BI24" s="6">
        <v>1</v>
      </c>
      <c r="BK24" s="20" t="s">
        <v>281</v>
      </c>
      <c r="BL24" s="20"/>
      <c r="BM24" s="20"/>
      <c r="BT24" s="27" t="s">
        <v>112</v>
      </c>
      <c r="BU24" s="6">
        <v>0.85</v>
      </c>
      <c r="BV24" s="6">
        <v>0.85</v>
      </c>
      <c r="BW24" s="6"/>
    </row>
    <row r="25" spans="1:75" x14ac:dyDescent="0.2">
      <c r="A25">
        <f t="shared" si="0"/>
        <v>0</v>
      </c>
      <c r="B25">
        <f t="shared" si="5"/>
        <v>0</v>
      </c>
      <c r="E25" s="35" t="s">
        <v>19</v>
      </c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F25" s="27" t="s">
        <v>226</v>
      </c>
      <c r="AG25" s="6">
        <v>0.7</v>
      </c>
      <c r="AH25" s="6"/>
      <c r="AJ25" s="27" t="s">
        <v>226</v>
      </c>
      <c r="AK25" s="6">
        <v>0.7</v>
      </c>
      <c r="AL25" s="6"/>
      <c r="AN25" s="27" t="s">
        <v>226</v>
      </c>
      <c r="AO25" s="6">
        <v>0.7</v>
      </c>
      <c r="AP25" s="6"/>
      <c r="AR25" s="27" t="s">
        <v>219</v>
      </c>
      <c r="AS25" s="6">
        <v>29.652287020404216</v>
      </c>
      <c r="AT25" s="6" t="s">
        <v>220</v>
      </c>
      <c r="BA25" s="27" t="s">
        <v>312</v>
      </c>
      <c r="BB25" s="6">
        <v>0.8</v>
      </c>
      <c r="BC25" s="6">
        <v>0.8</v>
      </c>
      <c r="BD25" s="6">
        <v>0.8</v>
      </c>
      <c r="BE25" s="6">
        <v>0.8</v>
      </c>
      <c r="BF25" s="6">
        <v>0.8</v>
      </c>
      <c r="BG25" s="6">
        <v>0.8</v>
      </c>
      <c r="BH25" s="6">
        <v>0.8</v>
      </c>
      <c r="BI25" s="6">
        <v>0.8</v>
      </c>
      <c r="BK25" s="27" t="s">
        <v>274</v>
      </c>
      <c r="BL25" s="6">
        <v>1.08</v>
      </c>
      <c r="BM25" s="6" t="s">
        <v>200</v>
      </c>
      <c r="BT25" s="27" t="s">
        <v>113</v>
      </c>
      <c r="BU25" s="6">
        <v>0.4</v>
      </c>
      <c r="BV25" s="6">
        <v>0.4</v>
      </c>
      <c r="BW25" s="6"/>
    </row>
    <row r="26" spans="1:75" x14ac:dyDescent="0.2">
      <c r="A26">
        <f t="shared" si="0"/>
        <v>0</v>
      </c>
      <c r="B26">
        <f t="shared" si="5"/>
        <v>0</v>
      </c>
      <c r="E26" s="6" t="s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41">
        <f t="shared" ref="L26:L31" si="21">M26</f>
        <v>0</v>
      </c>
      <c r="M26" s="41">
        <f t="shared" ref="M26:M31" si="22">P26</f>
        <v>0</v>
      </c>
      <c r="N26" s="6">
        <f t="shared" si="9"/>
        <v>0</v>
      </c>
      <c r="O26" s="6">
        <f t="shared" si="10"/>
        <v>0</v>
      </c>
      <c r="P26" s="6">
        <v>0</v>
      </c>
      <c r="Q26" s="6">
        <v>0</v>
      </c>
      <c r="R26" s="6">
        <f t="shared" ref="R26:R31" si="23">Q26</f>
        <v>0</v>
      </c>
      <c r="S26">
        <f t="shared" si="11"/>
        <v>0</v>
      </c>
      <c r="T26" s="6">
        <f>U26</f>
        <v>0</v>
      </c>
      <c r="U26" s="6">
        <v>0</v>
      </c>
      <c r="V26" s="6">
        <f>U26</f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f t="shared" si="14"/>
        <v>0</v>
      </c>
      <c r="AC26" s="6">
        <f t="shared" ref="AC26:AD31" si="24">I26+K26</f>
        <v>0</v>
      </c>
      <c r="AD26" s="6">
        <f t="shared" si="24"/>
        <v>0</v>
      </c>
      <c r="AF26" s="27" t="s">
        <v>225</v>
      </c>
      <c r="AG26" s="6">
        <f>AG24/AG25</f>
        <v>1692.4597628400895</v>
      </c>
      <c r="AH26" s="6" t="s">
        <v>99</v>
      </c>
      <c r="AJ26" s="27" t="s">
        <v>225</v>
      </c>
      <c r="AK26" s="6">
        <f>AK24/AK25</f>
        <v>1613.2449691260747</v>
      </c>
      <c r="AL26" s="6" t="s">
        <v>99</v>
      </c>
      <c r="AN26" s="27" t="s">
        <v>225</v>
      </c>
      <c r="AO26" s="6">
        <f>AO24/AO25</f>
        <v>9703.3613055901278</v>
      </c>
      <c r="AP26" s="6" t="s">
        <v>99</v>
      </c>
      <c r="AR26" s="27" t="s">
        <v>221</v>
      </c>
      <c r="AS26" s="6">
        <v>1.3896282767238972</v>
      </c>
      <c r="AT26" s="6"/>
      <c r="BA26" s="27" t="s">
        <v>313</v>
      </c>
      <c r="BB26" s="6">
        <f>ABS(((BB17-BB20)-(BB16-BB21))/LN((BB17-BB20)/(BB16-BB21)))</f>
        <v>7.2134752044448174</v>
      </c>
      <c r="BC26" s="6">
        <f t="shared" ref="BC26:BH26" si="25">ABS(((BC17-BC20)-(BC16-BC21))/LN((BC17-BC20)/(BC16-BC21)))</f>
        <v>30.701588620466133</v>
      </c>
      <c r="BD26" s="6">
        <f t="shared" si="25"/>
        <v>95.215808471473963</v>
      </c>
      <c r="BE26" s="6">
        <f t="shared" si="25"/>
        <v>83.369292543829701</v>
      </c>
      <c r="BF26" s="6">
        <f t="shared" si="25"/>
        <v>54.237630811639988</v>
      </c>
      <c r="BG26" s="6">
        <f t="shared" si="25"/>
        <v>54.135128428905794</v>
      </c>
      <c r="BH26" s="6">
        <f t="shared" si="25"/>
        <v>18.744061402069217</v>
      </c>
      <c r="BI26" s="6">
        <f>BI20-BI16</f>
        <v>54.328124126035377</v>
      </c>
      <c r="BK26" s="27" t="s">
        <v>276</v>
      </c>
      <c r="BL26" s="6">
        <f>1.258*BL14</f>
        <v>511.32205896852781</v>
      </c>
      <c r="BM26" s="6" t="s">
        <v>23</v>
      </c>
      <c r="BT26" s="27" t="s">
        <v>330</v>
      </c>
      <c r="BU26" s="6">
        <v>0</v>
      </c>
      <c r="BV26" s="6">
        <v>0.125</v>
      </c>
      <c r="BW26" s="6"/>
    </row>
    <row r="27" spans="1:75" x14ac:dyDescent="0.2">
      <c r="A27">
        <f t="shared" si="0"/>
        <v>0</v>
      </c>
      <c r="B27">
        <f t="shared" si="5"/>
        <v>0</v>
      </c>
      <c r="E27" s="6" t="s">
        <v>1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41">
        <f t="shared" si="21"/>
        <v>0</v>
      </c>
      <c r="M27" s="41">
        <f t="shared" si="22"/>
        <v>0</v>
      </c>
      <c r="N27" s="6">
        <f t="shared" si="9"/>
        <v>0</v>
      </c>
      <c r="O27" s="6">
        <f t="shared" si="10"/>
        <v>0</v>
      </c>
      <c r="P27" s="6">
        <v>0</v>
      </c>
      <c r="Q27" s="6">
        <v>0</v>
      </c>
      <c r="R27" s="6">
        <f t="shared" si="23"/>
        <v>0</v>
      </c>
      <c r="S27">
        <f t="shared" si="11"/>
        <v>0</v>
      </c>
      <c r="T27" s="6">
        <f t="shared" ref="T27:T31" si="26">U27</f>
        <v>0</v>
      </c>
      <c r="U27" s="6">
        <v>0</v>
      </c>
      <c r="V27" s="6">
        <f t="shared" ref="V27:V31" si="27">U27</f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f t="shared" si="14"/>
        <v>0</v>
      </c>
      <c r="AC27" s="6">
        <f t="shared" si="24"/>
        <v>0</v>
      </c>
      <c r="AD27" s="6">
        <f t="shared" si="24"/>
        <v>0</v>
      </c>
      <c r="AF27" s="27" t="s">
        <v>227</v>
      </c>
      <c r="AG27" s="6">
        <f>AG26*1000/(AG23*AG20)+AG15</f>
        <v>140.54123906327141</v>
      </c>
      <c r="AH27" s="6"/>
      <c r="AJ27" s="27" t="s">
        <v>227</v>
      </c>
      <c r="AK27" s="6">
        <f>AK26*1000/(AK23*AK20)+AK15</f>
        <v>140.24173384135258</v>
      </c>
      <c r="AL27" s="6"/>
      <c r="AN27" s="27" t="s">
        <v>227</v>
      </c>
      <c r="AO27" s="6">
        <f>AO26*1000/(AO23*AO20)+AO15</f>
        <v>141.21080834640219</v>
      </c>
      <c r="AP27" s="6"/>
      <c r="AR27" s="27" t="s">
        <v>240</v>
      </c>
      <c r="AS27" s="55">
        <v>94.010962122252565</v>
      </c>
      <c r="AT27" s="6" t="s">
        <v>201</v>
      </c>
      <c r="BA27" s="27" t="s">
        <v>314</v>
      </c>
      <c r="BB27" s="6">
        <v>500</v>
      </c>
      <c r="BC27" s="6">
        <v>100</v>
      </c>
      <c r="BD27" s="6">
        <v>100</v>
      </c>
      <c r="BE27" s="6">
        <v>500</v>
      </c>
      <c r="BF27" s="6">
        <v>100</v>
      </c>
      <c r="BG27" s="6">
        <v>100</v>
      </c>
      <c r="BH27" s="6">
        <v>100</v>
      </c>
      <c r="BI27" s="6">
        <v>500</v>
      </c>
      <c r="BK27" s="27" t="s">
        <v>275</v>
      </c>
      <c r="BL27" s="57">
        <f>(BL26*0.00008314*(BL17+273))/BL18</f>
        <v>11.811769359165147</v>
      </c>
      <c r="BM27" s="6" t="s">
        <v>278</v>
      </c>
      <c r="BT27" s="27" t="s">
        <v>331</v>
      </c>
      <c r="BU27" s="6">
        <f>((BU16*1.1*BU17)/(2*BU23*BU24+2*BU25*BU16*1.1))+BU26*2.54/100</f>
        <v>0.28884199712909431</v>
      </c>
      <c r="BV27" s="6">
        <f>((BV16*1.1*BV17)/(2*BV23*BV24+2*BV25*BV16*1.1))+BV26*2.54/100</f>
        <v>6.2301818460034145E-3</v>
      </c>
      <c r="BW27" s="6"/>
    </row>
    <row r="28" spans="1:75" x14ac:dyDescent="0.2">
      <c r="A28">
        <f t="shared" si="0"/>
        <v>0</v>
      </c>
      <c r="B28">
        <f t="shared" si="5"/>
        <v>0</v>
      </c>
      <c r="E28" s="6" t="s">
        <v>2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41">
        <f t="shared" si="21"/>
        <v>0</v>
      </c>
      <c r="M28" s="41">
        <f t="shared" si="22"/>
        <v>0</v>
      </c>
      <c r="N28" s="6">
        <f t="shared" si="9"/>
        <v>0</v>
      </c>
      <c r="O28" s="6">
        <f t="shared" si="10"/>
        <v>0</v>
      </c>
      <c r="P28" s="6">
        <v>0</v>
      </c>
      <c r="Q28" s="6">
        <v>0</v>
      </c>
      <c r="R28" s="6">
        <f t="shared" si="23"/>
        <v>0</v>
      </c>
      <c r="S28">
        <f t="shared" si="11"/>
        <v>0</v>
      </c>
      <c r="T28" s="6">
        <f t="shared" si="26"/>
        <v>200.08428298947641</v>
      </c>
      <c r="U28" s="6">
        <f>Q20-Y20</f>
        <v>200.08428298947641</v>
      </c>
      <c r="V28" s="6">
        <f t="shared" si="27"/>
        <v>200.08428298947641</v>
      </c>
      <c r="W28" s="6">
        <f>W32*M8</f>
        <v>198.01992094429551</v>
      </c>
      <c r="X28" s="6">
        <f>U28-W28</f>
        <v>2.0643620451808999</v>
      </c>
      <c r="Y28" s="6">
        <v>0</v>
      </c>
      <c r="Z28" s="6">
        <v>0</v>
      </c>
      <c r="AA28" s="6">
        <v>0</v>
      </c>
      <c r="AB28" s="6">
        <f t="shared" si="14"/>
        <v>0</v>
      </c>
      <c r="AC28" s="6">
        <f t="shared" si="24"/>
        <v>0</v>
      </c>
      <c r="AD28" s="6">
        <f t="shared" si="24"/>
        <v>0</v>
      </c>
      <c r="AF28" s="27" t="s">
        <v>228</v>
      </c>
      <c r="AG28" s="6">
        <f>AG26*AG16</f>
        <v>8462.2988142004469</v>
      </c>
      <c r="AH28" s="6" t="s">
        <v>99</v>
      </c>
      <c r="AJ28" s="27" t="s">
        <v>228</v>
      </c>
      <c r="AK28" s="6">
        <f>AK26*AK16</f>
        <v>11292.714783882522</v>
      </c>
      <c r="AL28" s="6" t="s">
        <v>99</v>
      </c>
      <c r="AN28" s="27" t="s">
        <v>228</v>
      </c>
      <c r="AO28" s="6">
        <f>AO26*AO16</f>
        <v>9703.3613055901278</v>
      </c>
      <c r="AP28" s="6" t="s">
        <v>99</v>
      </c>
      <c r="AR28" s="27" t="s">
        <v>241</v>
      </c>
      <c r="AS28" s="6">
        <f>(AS16+273)*(AS27/AS17)^((AS20-1)/AS20)-273</f>
        <v>57.171095122326619</v>
      </c>
      <c r="AT28" s="6" t="s">
        <v>212</v>
      </c>
      <c r="BA28" s="27" t="s">
        <v>315</v>
      </c>
      <c r="BB28" s="28">
        <f>BB18*1000/(BB25*BB27*BB26)</f>
        <v>251.95832867420162</v>
      </c>
      <c r="BC28" s="28">
        <f t="shared" ref="BC28:BI28" si="28">BC18*1000/(BC25*BC27*BC26)</f>
        <v>5324.0234493575608</v>
      </c>
      <c r="BD28" s="28">
        <f t="shared" si="28"/>
        <v>260.23403037065111</v>
      </c>
      <c r="BE28" s="28">
        <f t="shared" si="28"/>
        <v>1185.9687710270803</v>
      </c>
      <c r="BF28" s="28">
        <f t="shared" si="28"/>
        <v>390.05662155436306</v>
      </c>
      <c r="BG28" s="28">
        <f t="shared" si="28"/>
        <v>372.50418904166497</v>
      </c>
      <c r="BH28" s="28">
        <f t="shared" si="28"/>
        <v>11075.378190500287</v>
      </c>
      <c r="BI28" s="28">
        <f t="shared" si="28"/>
        <v>1019.9166569170835</v>
      </c>
      <c r="BK28" s="27" t="s">
        <v>279</v>
      </c>
      <c r="BL28" s="6">
        <f>(BL27/BL25*4/PI())^0.5</f>
        <v>3.7316479133790326</v>
      </c>
      <c r="BM28" s="6" t="s">
        <v>189</v>
      </c>
      <c r="BT28" s="27" t="s">
        <v>332</v>
      </c>
      <c r="BU28" s="6">
        <f>(PI()*BU17^2+PI()*BU17*BU18)*BU27</f>
        <v>40.225120114936551</v>
      </c>
      <c r="BV28" s="6">
        <f>(PI()*BV17^2+PI()*BV17*BV18)*BV27</f>
        <v>1.3316104098281345</v>
      </c>
      <c r="BW28" s="6"/>
    </row>
    <row r="29" spans="1:75" x14ac:dyDescent="0.2">
      <c r="A29">
        <f t="shared" si="0"/>
        <v>0</v>
      </c>
      <c r="B29">
        <f t="shared" si="5"/>
        <v>0</v>
      </c>
      <c r="E29" s="6" t="s">
        <v>3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41">
        <f t="shared" si="21"/>
        <v>0</v>
      </c>
      <c r="M29" s="41">
        <f t="shared" si="22"/>
        <v>0</v>
      </c>
      <c r="N29" s="6">
        <f t="shared" si="9"/>
        <v>0</v>
      </c>
      <c r="O29" s="6">
        <f t="shared" si="10"/>
        <v>0</v>
      </c>
      <c r="P29" s="6">
        <v>0</v>
      </c>
      <c r="Q29" s="6">
        <v>0</v>
      </c>
      <c r="R29" s="6">
        <f t="shared" si="23"/>
        <v>0</v>
      </c>
      <c r="S29">
        <f t="shared" si="11"/>
        <v>0</v>
      </c>
      <c r="T29" s="6">
        <f t="shared" si="26"/>
        <v>0</v>
      </c>
      <c r="U29" s="6">
        <v>0</v>
      </c>
      <c r="V29" s="6">
        <f t="shared" si="27"/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f t="shared" si="14"/>
        <v>0</v>
      </c>
      <c r="AC29" s="6">
        <f t="shared" si="24"/>
        <v>0</v>
      </c>
      <c r="AD29" s="6">
        <f t="shared" si="24"/>
        <v>0</v>
      </c>
      <c r="AF29" s="27" t="s">
        <v>229</v>
      </c>
      <c r="AG29" s="6">
        <v>0.9</v>
      </c>
      <c r="AH29" s="6"/>
      <c r="AJ29" s="27" t="s">
        <v>229</v>
      </c>
      <c r="AK29" s="6">
        <v>0.9</v>
      </c>
      <c r="AL29" s="6"/>
      <c r="AN29" s="27" t="s">
        <v>229</v>
      </c>
      <c r="AO29" s="6">
        <v>0.9</v>
      </c>
      <c r="AP29" s="6"/>
      <c r="AR29" s="27" t="s">
        <v>242</v>
      </c>
      <c r="AS29" s="6">
        <f>(AS22+273)*(AS27/AS23)^((AS20-1)/AS20)-273</f>
        <v>61.188636142181508</v>
      </c>
      <c r="AT29" s="6" t="s">
        <v>212</v>
      </c>
      <c r="BA29" s="27" t="s">
        <v>317</v>
      </c>
      <c r="BB29" s="6"/>
      <c r="BC29" s="6"/>
      <c r="BD29" s="6"/>
      <c r="BE29" s="28">
        <f>BE18*1000/(29.1*(BE17-BE16))</f>
        <v>61776.555713591268</v>
      </c>
      <c r="BF29" s="28">
        <f t="shared" ref="BF29:BH29" si="29">BF18*1000/(29.1*(BF17-BF16))</f>
        <v>2643.6422412372531</v>
      </c>
      <c r="BG29" s="28">
        <f t="shared" si="29"/>
        <v>2519.907793074156</v>
      </c>
      <c r="BH29" s="28">
        <f t="shared" si="29"/>
        <v>13588.451569554943</v>
      </c>
      <c r="BI29" s="6"/>
      <c r="BK29" s="27" t="s">
        <v>282</v>
      </c>
      <c r="BL29" s="6">
        <v>23</v>
      </c>
      <c r="BM29" s="6"/>
      <c r="BT29" s="27" t="s">
        <v>333</v>
      </c>
      <c r="BU29" s="6">
        <f>BU28*BU22</f>
        <v>301688.40086202411</v>
      </c>
      <c r="BV29" s="6">
        <f>BV28*BV22</f>
        <v>9988.4096841208375</v>
      </c>
      <c r="BW29" s="6"/>
    </row>
    <row r="30" spans="1:75" x14ac:dyDescent="0.2">
      <c r="A30">
        <f t="shared" si="0"/>
        <v>0</v>
      </c>
      <c r="B30">
        <f t="shared" si="5"/>
        <v>0</v>
      </c>
      <c r="E30" s="6" t="s">
        <v>4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41">
        <f t="shared" si="21"/>
        <v>0</v>
      </c>
      <c r="M30" s="41">
        <f t="shared" si="22"/>
        <v>0</v>
      </c>
      <c r="N30" s="6">
        <f t="shared" si="9"/>
        <v>0</v>
      </c>
      <c r="O30" s="6">
        <f t="shared" si="10"/>
        <v>0</v>
      </c>
      <c r="P30" s="6">
        <v>0</v>
      </c>
      <c r="Q30" s="6">
        <v>0</v>
      </c>
      <c r="R30" s="6">
        <f t="shared" si="23"/>
        <v>0</v>
      </c>
      <c r="S30">
        <f t="shared" si="11"/>
        <v>0</v>
      </c>
      <c r="T30" s="6">
        <f t="shared" si="26"/>
        <v>206.37204369456796</v>
      </c>
      <c r="U30" s="6">
        <f>Q22-Y22</f>
        <v>206.37204369456796</v>
      </c>
      <c r="V30" s="6">
        <f t="shared" si="27"/>
        <v>206.37204369456796</v>
      </c>
      <c r="W30" s="6">
        <f>W32*(1-M8)</f>
        <v>2.0002012216595522</v>
      </c>
      <c r="X30" s="6">
        <f>U30-W30</f>
        <v>204.37184247290841</v>
      </c>
      <c r="Y30" s="6">
        <v>0</v>
      </c>
      <c r="Z30" s="6">
        <v>0</v>
      </c>
      <c r="AA30" s="6">
        <v>0</v>
      </c>
      <c r="AB30" s="6">
        <f t="shared" si="14"/>
        <v>0</v>
      </c>
      <c r="AC30" s="6">
        <f t="shared" si="24"/>
        <v>0</v>
      </c>
      <c r="AD30" s="6">
        <f t="shared" si="24"/>
        <v>0</v>
      </c>
      <c r="AF30" s="27" t="s">
        <v>230</v>
      </c>
      <c r="AG30" s="6">
        <f>AG26*AG29</f>
        <v>1523.2137865560805</v>
      </c>
      <c r="AH30" s="6" t="s">
        <v>99</v>
      </c>
      <c r="AJ30" s="27" t="s">
        <v>230</v>
      </c>
      <c r="AK30" s="6">
        <f>AK26*AK29</f>
        <v>1451.9204722134673</v>
      </c>
      <c r="AL30" s="6" t="s">
        <v>99</v>
      </c>
      <c r="AN30" s="27" t="s">
        <v>230</v>
      </c>
      <c r="AO30" s="6">
        <f>AO26*AO29</f>
        <v>8733.0251750311145</v>
      </c>
      <c r="AP30" s="6" t="s">
        <v>99</v>
      </c>
      <c r="AR30" s="27" t="s">
        <v>243</v>
      </c>
      <c r="AS30" s="56">
        <f>AS18*AS19*(AS28-AS16)*0.7+AS24*AS25*(AS29-AS22)/0.7</f>
        <v>729109.62036211148</v>
      </c>
      <c r="AT30" s="6" t="s">
        <v>244</v>
      </c>
      <c r="BA30" s="27" t="s">
        <v>318</v>
      </c>
      <c r="BB30" s="27"/>
      <c r="BC30" s="6"/>
      <c r="BD30" s="6"/>
      <c r="BE30" s="28">
        <f>(BE29*0.00008314*(BE16+273))/1</f>
        <v>1520.2864412402812</v>
      </c>
      <c r="BF30" s="28">
        <f t="shared" ref="BF30:BH30" si="30">(BF29*0.00008314*(BF16+273))/1</f>
        <v>65.058555117193706</v>
      </c>
      <c r="BG30" s="28">
        <f t="shared" si="30"/>
        <v>62.013519639190847</v>
      </c>
      <c r="BH30" s="28">
        <f t="shared" si="30"/>
        <v>334.4041835938682</v>
      </c>
      <c r="BI30" s="6"/>
      <c r="BK30" s="27" t="s">
        <v>283</v>
      </c>
      <c r="BL30" s="6">
        <f>BL29*0.5+1.5+1.5</f>
        <v>14.5</v>
      </c>
      <c r="BM30" s="6" t="s">
        <v>189</v>
      </c>
      <c r="BT30" s="6"/>
      <c r="BU30" s="6"/>
      <c r="BV30" s="6"/>
      <c r="BW30" s="6"/>
    </row>
    <row r="31" spans="1:75" x14ac:dyDescent="0.2">
      <c r="A31">
        <f t="shared" si="0"/>
        <v>0</v>
      </c>
      <c r="B31">
        <f t="shared" si="5"/>
        <v>0</v>
      </c>
      <c r="E31" s="6" t="s">
        <v>5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41">
        <f t="shared" si="21"/>
        <v>0</v>
      </c>
      <c r="M31" s="41">
        <f t="shared" si="22"/>
        <v>0</v>
      </c>
      <c r="N31" s="6">
        <f t="shared" si="9"/>
        <v>0</v>
      </c>
      <c r="O31" s="6">
        <f t="shared" si="10"/>
        <v>0</v>
      </c>
      <c r="P31" s="6">
        <v>0</v>
      </c>
      <c r="Q31" s="6">
        <v>0</v>
      </c>
      <c r="R31" s="6">
        <f t="shared" si="23"/>
        <v>0</v>
      </c>
      <c r="S31">
        <f t="shared" si="11"/>
        <v>0</v>
      </c>
      <c r="T31" s="6">
        <f t="shared" si="26"/>
        <v>0</v>
      </c>
      <c r="U31" s="6">
        <v>0</v>
      </c>
      <c r="V31" s="6">
        <f t="shared" si="27"/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f t="shared" si="14"/>
        <v>0</v>
      </c>
      <c r="AC31" s="6">
        <f t="shared" si="24"/>
        <v>0</v>
      </c>
      <c r="AD31" s="6">
        <f t="shared" si="24"/>
        <v>0</v>
      </c>
      <c r="AF31" s="27" t="s">
        <v>231</v>
      </c>
      <c r="AG31" s="6">
        <f>AG23*AG20*(AG15-AG27)/1000</f>
        <v>-1692.4597628400895</v>
      </c>
      <c r="AH31" s="6" t="s">
        <v>99</v>
      </c>
      <c r="AJ31" s="27" t="s">
        <v>231</v>
      </c>
      <c r="AK31" s="6">
        <f>AK23*AK20*(AK15-AK27)/1000</f>
        <v>-1613.2449691260749</v>
      </c>
      <c r="AL31" s="6" t="s">
        <v>99</v>
      </c>
      <c r="AN31" s="27" t="s">
        <v>231</v>
      </c>
      <c r="AO31" s="6">
        <f>AO23*AO20*(AO15-AO27)/1000</f>
        <v>-9703.3613055901296</v>
      </c>
      <c r="AP31" s="6" t="s">
        <v>99</v>
      </c>
      <c r="AU31" s="6"/>
      <c r="AV31" s="6" t="s">
        <v>255</v>
      </c>
      <c r="AW31" s="6"/>
      <c r="AX31" s="6"/>
      <c r="AY31" s="6"/>
      <c r="BA31" s="27" t="s">
        <v>319</v>
      </c>
      <c r="BB31" s="27"/>
      <c r="BC31" s="27"/>
      <c r="BD31" s="6"/>
      <c r="BE31" s="6">
        <v>150</v>
      </c>
      <c r="BF31" s="6">
        <v>151</v>
      </c>
      <c r="BG31" s="6">
        <v>152</v>
      </c>
      <c r="BH31" s="6">
        <v>153</v>
      </c>
      <c r="BI31" s="6"/>
      <c r="BT31" s="6" t="s">
        <v>334</v>
      </c>
      <c r="BU31" s="6"/>
      <c r="BV31" s="6"/>
      <c r="BW31" s="6"/>
    </row>
    <row r="32" spans="1:75" x14ac:dyDescent="0.2">
      <c r="A32">
        <f t="shared" si="0"/>
        <v>0</v>
      </c>
      <c r="B32">
        <f t="shared" si="5"/>
        <v>0</v>
      </c>
      <c r="E32" s="36" t="s">
        <v>78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f>SUM(T26:T31)</f>
        <v>406.45632668404437</v>
      </c>
      <c r="U32" s="36">
        <f>SUM(U26:U31)</f>
        <v>406.45632668404437</v>
      </c>
      <c r="V32" s="36">
        <f>SUM(V26:V31)</f>
        <v>406.45632668404437</v>
      </c>
      <c r="W32" s="36">
        <f>(U28-U32*N8)/(M8-N8)</f>
        <v>200.02012216595506</v>
      </c>
      <c r="X32" s="36">
        <f>SUM(X26:X31)</f>
        <v>206.43620451808931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U32" s="6" t="s">
        <v>257</v>
      </c>
      <c r="AV32" s="6" t="s">
        <v>256</v>
      </c>
      <c r="AW32" s="6" t="s">
        <v>236</v>
      </c>
      <c r="AX32" s="6" t="s">
        <v>236</v>
      </c>
      <c r="AY32" s="6" t="s">
        <v>236</v>
      </c>
      <c r="BA32" s="27" t="s">
        <v>316</v>
      </c>
      <c r="BB32" s="27"/>
      <c r="BC32" s="6"/>
      <c r="BD32" s="6"/>
      <c r="BE32" s="28">
        <f>((BE30*BE31)/0.9)/1000</f>
        <v>253.38107354004686</v>
      </c>
      <c r="BF32" s="28">
        <f t="shared" ref="BF32:BH32" si="31">((BF30*BF31)/0.9)/1000</f>
        <v>10.915379802995833</v>
      </c>
      <c r="BG32" s="28">
        <f t="shared" si="31"/>
        <v>10.473394427952231</v>
      </c>
      <c r="BH32" s="28">
        <f t="shared" si="31"/>
        <v>56.848711210957589</v>
      </c>
      <c r="BI32" s="6"/>
      <c r="BT32" s="6" t="s">
        <v>335</v>
      </c>
      <c r="BU32" s="6"/>
      <c r="BV32" s="6"/>
      <c r="BW32" s="6"/>
    </row>
    <row r="33" spans="1:51" x14ac:dyDescent="0.2">
      <c r="E33" s="27" t="s">
        <v>81</v>
      </c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U33" s="6">
        <v>6000</v>
      </c>
      <c r="AV33" s="6">
        <f>0+AU33</f>
        <v>6000</v>
      </c>
      <c r="AW33" s="6">
        <f>AW16</f>
        <v>139.56565665490669</v>
      </c>
      <c r="AX33" s="6"/>
      <c r="AY33" s="6"/>
    </row>
    <row r="34" spans="1:51" x14ac:dyDescent="0.2">
      <c r="A34" s="28">
        <f t="shared" ref="A34:B39" si="32">$AG35+($AH35/3*((A$15+273)^3-298^3)+$AI35/2*((A$15+273)^2-298^2)+$AJ35*(A$15+273-298))*0.001</f>
        <v>-392.57283441999999</v>
      </c>
      <c r="B34" s="28">
        <f t="shared" si="32"/>
        <v>-390.60973425999998</v>
      </c>
      <c r="E34" s="6" t="s">
        <v>0</v>
      </c>
      <c r="F34" s="28">
        <f t="shared" ref="F34:N39" si="33">$AG35+($AH35/3*((F$15+273)^3-298^3)+$AI35/2*((F$15+273)^2-298^2)+$AJ35*(F$15+273-298))*0.001</f>
        <v>-388.55894209999997</v>
      </c>
      <c r="G34" s="28">
        <f t="shared" si="33"/>
        <v>-388.55894209999997</v>
      </c>
      <c r="H34" s="28">
        <f t="shared" si="33"/>
        <v>-389.79967163599997</v>
      </c>
      <c r="I34" s="28">
        <f t="shared" si="33"/>
        <v>-389.79967163599997</v>
      </c>
      <c r="J34" s="28">
        <f t="shared" si="33"/>
        <v>-392.57283441999999</v>
      </c>
      <c r="K34" s="28">
        <f t="shared" si="33"/>
        <v>-392.57283441999999</v>
      </c>
      <c r="L34" s="28">
        <f t="shared" si="33"/>
        <v>-392.57283441999999</v>
      </c>
      <c r="M34" s="28">
        <f t="shared" si="33"/>
        <v>-388.99391942329311</v>
      </c>
      <c r="N34" s="28">
        <f t="shared" si="33"/>
        <v>-388.41594486936845</v>
      </c>
      <c r="O34" s="28">
        <f t="shared" ref="O34:O39" si="34">$AG35+($AH35/3*((O$15+273)^3-298^3)+$AI35/2*((O$15+273)^2-298^2)+$AJ35*(O$15+273-298))*0.001</f>
        <v>-384.48285935439998</v>
      </c>
      <c r="P34" s="28">
        <f t="shared" ref="P34:U39" si="35">$AG35+($AH35/3*((P$15+273)^3-298^3)+$AI35/2*((P$15+273)^2-298^2)+$AJ35*(P$15+273-298))*0.001</f>
        <v>-384.2584515584</v>
      </c>
      <c r="Q34" s="28">
        <f t="shared" si="35"/>
        <v>-384.2584515584</v>
      </c>
      <c r="R34" s="28">
        <f t="shared" si="35"/>
        <v>-384.2584515584</v>
      </c>
      <c r="S34" s="28">
        <f t="shared" si="35"/>
        <v>-384.91121736357309</v>
      </c>
      <c r="T34" s="28">
        <f t="shared" si="35"/>
        <v>-392.57283441999999</v>
      </c>
      <c r="U34" s="28">
        <f t="shared" si="35"/>
        <v>-392.57283441999999</v>
      </c>
      <c r="V34" s="28">
        <f t="shared" ref="V34:AD39" si="36">$AG35+($AH35/3*((V$15+273)^3-298^3)+$AI35/2*((V$15+273)^2-298^2)+$AJ35*(V$15+273-298))*0.001</f>
        <v>-392.57283441999999</v>
      </c>
      <c r="W34" s="28">
        <f t="shared" si="36"/>
        <v>-391.79842459599996</v>
      </c>
      <c r="X34" s="28">
        <f t="shared" si="36"/>
        <v>-390.38141747424504</v>
      </c>
      <c r="Y34" s="28">
        <f t="shared" si="36"/>
        <v>-392.57283441999999</v>
      </c>
      <c r="Z34" s="28">
        <f t="shared" si="36"/>
        <v>-392.57283441999999</v>
      </c>
      <c r="AA34" s="28">
        <f t="shared" si="36"/>
        <v>-392.57283441999999</v>
      </c>
      <c r="AB34" s="28">
        <f t="shared" si="36"/>
        <v>-392.57283441999999</v>
      </c>
      <c r="AC34" s="28">
        <f t="shared" si="36"/>
        <v>-388.92557934558539</v>
      </c>
      <c r="AD34" s="28">
        <f t="shared" si="36"/>
        <v>-392.57283441999999</v>
      </c>
      <c r="AF34" s="6" t="s">
        <v>103</v>
      </c>
      <c r="AG34" s="3" t="s">
        <v>83</v>
      </c>
      <c r="AH34" s="3" t="s">
        <v>84</v>
      </c>
      <c r="AI34" s="3" t="s">
        <v>85</v>
      </c>
      <c r="AJ34" s="3" t="s">
        <v>86</v>
      </c>
      <c r="AK34" s="3"/>
      <c r="AL34" s="3"/>
      <c r="AM34" s="3"/>
      <c r="AU34" s="6"/>
      <c r="AV34" s="28">
        <f>AW18+AU33</f>
        <v>21785.747769891692</v>
      </c>
      <c r="AW34" s="6">
        <f>AW17</f>
        <v>249</v>
      </c>
      <c r="AX34" s="6"/>
      <c r="AY34" s="6"/>
    </row>
    <row r="35" spans="1:51" x14ac:dyDescent="0.2">
      <c r="A35" s="28">
        <f t="shared" si="32"/>
        <v>0.72428261071666666</v>
      </c>
      <c r="B35" s="28">
        <f t="shared" si="32"/>
        <v>2.17506562215</v>
      </c>
      <c r="E35" s="6" t="s">
        <v>1</v>
      </c>
      <c r="F35" s="28">
        <f t="shared" si="33"/>
        <v>3.6289886035833332</v>
      </c>
      <c r="G35" s="28">
        <f t="shared" si="33"/>
        <v>3.6289886035833332</v>
      </c>
      <c r="H35" s="28">
        <f t="shared" si="33"/>
        <v>2.7562457263233333</v>
      </c>
      <c r="I35" s="28">
        <f t="shared" si="33"/>
        <v>2.7562457263233333</v>
      </c>
      <c r="J35" s="28">
        <f t="shared" si="33"/>
        <v>0.72428261071666666</v>
      </c>
      <c r="K35" s="28">
        <f t="shared" si="33"/>
        <v>0.72428261071666666</v>
      </c>
      <c r="L35" s="28">
        <f t="shared" si="33"/>
        <v>0.72428261071666666</v>
      </c>
      <c r="M35" s="28">
        <f t="shared" si="33"/>
        <v>3.3253038880251875</v>
      </c>
      <c r="N35" s="28">
        <f t="shared" si="33"/>
        <v>3.7283073163567337</v>
      </c>
      <c r="O35" s="28">
        <f t="shared" si="34"/>
        <v>6.3716328734460008</v>
      </c>
      <c r="P35" s="28">
        <f t="shared" si="35"/>
        <v>6.5178787543893337</v>
      </c>
      <c r="Q35" s="28">
        <f t="shared" si="35"/>
        <v>6.5178787543893337</v>
      </c>
      <c r="R35" s="28">
        <f t="shared" si="35"/>
        <v>6.5178787543893337</v>
      </c>
      <c r="S35" s="28">
        <f t="shared" si="35"/>
        <v>6.0912287557056564</v>
      </c>
      <c r="T35" s="28">
        <f t="shared" si="35"/>
        <v>0.72428261071666666</v>
      </c>
      <c r="U35" s="28">
        <f t="shared" si="35"/>
        <v>0.72428261071666666</v>
      </c>
      <c r="V35" s="28">
        <f t="shared" si="36"/>
        <v>0.72428261071666666</v>
      </c>
      <c r="W35" s="28">
        <f t="shared" si="36"/>
        <v>1.30423306689</v>
      </c>
      <c r="X35" s="28">
        <f t="shared" si="36"/>
        <v>2.339833046725452</v>
      </c>
      <c r="Y35" s="28">
        <f t="shared" si="36"/>
        <v>0.72428261071666666</v>
      </c>
      <c r="Z35" s="28">
        <f t="shared" si="36"/>
        <v>0.72428261071666666</v>
      </c>
      <c r="AA35" s="28">
        <f t="shared" si="36"/>
        <v>0.72428261071666666</v>
      </c>
      <c r="AB35" s="28">
        <f t="shared" si="36"/>
        <v>0.72428261071666666</v>
      </c>
      <c r="AC35" s="28">
        <f t="shared" si="36"/>
        <v>3.3731753144446746</v>
      </c>
      <c r="AD35" s="28">
        <f t="shared" si="36"/>
        <v>0.72428261071666666</v>
      </c>
      <c r="AF35" s="6" t="s">
        <v>0</v>
      </c>
      <c r="AG35" s="4">
        <v>-393.52</v>
      </c>
      <c r="AH35" s="5">
        <v>-1.9199999999999999E-5</v>
      </c>
      <c r="AI35" s="5">
        <v>4.9399999999999999E-2</v>
      </c>
      <c r="AJ35" s="4">
        <v>24.4</v>
      </c>
      <c r="AK35" s="4"/>
      <c r="AL35" s="4"/>
      <c r="AM35" s="4"/>
      <c r="AU35" s="28">
        <v>17500</v>
      </c>
      <c r="AV35" s="6">
        <f>0+AU35</f>
        <v>17500</v>
      </c>
      <c r="AW35" s="6"/>
      <c r="AX35" s="6">
        <f>AX20</f>
        <v>249</v>
      </c>
      <c r="AY35" s="6"/>
    </row>
    <row r="36" spans="1:51" x14ac:dyDescent="0.2">
      <c r="A36" s="28">
        <f t="shared" si="32"/>
        <v>-203.87434438666668</v>
      </c>
      <c r="B36" s="28">
        <f t="shared" si="32"/>
        <v>-201.46932916</v>
      </c>
      <c r="E36" s="6" t="s">
        <v>2</v>
      </c>
      <c r="F36" s="28">
        <f t="shared" si="33"/>
        <v>-198.86504193333334</v>
      </c>
      <c r="G36" s="28">
        <f t="shared" si="33"/>
        <v>-198.86504193333334</v>
      </c>
      <c r="H36" s="28">
        <f t="shared" si="33"/>
        <v>-200.45114610933334</v>
      </c>
      <c r="I36" s="28">
        <f t="shared" si="33"/>
        <v>-200.45114610933334</v>
      </c>
      <c r="J36" s="28">
        <f t="shared" si="33"/>
        <v>-203.87434438666668</v>
      </c>
      <c r="K36" s="28">
        <f t="shared" si="33"/>
        <v>-203.87434438666668</v>
      </c>
      <c r="L36" s="28">
        <f t="shared" si="33"/>
        <v>-203.87434438666668</v>
      </c>
      <c r="M36" s="28">
        <f t="shared" si="33"/>
        <v>-199.42464077828993</v>
      </c>
      <c r="N36" s="28">
        <f t="shared" si="33"/>
        <v>-198.68026472337067</v>
      </c>
      <c r="O36" s="28">
        <f t="shared" si="34"/>
        <v>-193.45332171039999</v>
      </c>
      <c r="P36" s="28">
        <f t="shared" si="35"/>
        <v>-193.14727570773334</v>
      </c>
      <c r="Q36" s="28">
        <f t="shared" si="35"/>
        <v>-193.14727570773334</v>
      </c>
      <c r="R36" s="28">
        <f t="shared" si="35"/>
        <v>-193.14727570773334</v>
      </c>
      <c r="S36" s="28">
        <f t="shared" si="35"/>
        <v>-194.03530421051522</v>
      </c>
      <c r="T36" s="28">
        <f t="shared" si="35"/>
        <v>-203.87434438666668</v>
      </c>
      <c r="U36" s="28">
        <f t="shared" si="35"/>
        <v>-203.87434438666668</v>
      </c>
      <c r="V36" s="28">
        <f t="shared" si="36"/>
        <v>-203.87434438666668</v>
      </c>
      <c r="W36" s="28">
        <f t="shared" si="36"/>
        <v>-202.93668613599999</v>
      </c>
      <c r="X36" s="28">
        <f t="shared" si="36"/>
        <v>-201.18379871146763</v>
      </c>
      <c r="Y36" s="28">
        <f t="shared" si="36"/>
        <v>-203.87434438666668</v>
      </c>
      <c r="Z36" s="28">
        <f t="shared" si="36"/>
        <v>-203.87434438666668</v>
      </c>
      <c r="AA36" s="28">
        <f t="shared" si="36"/>
        <v>-203.87434438666668</v>
      </c>
      <c r="AB36" s="28">
        <f t="shared" si="36"/>
        <v>-203.87434438666668</v>
      </c>
      <c r="AC36" s="28">
        <f t="shared" si="36"/>
        <v>-199.3369696349904</v>
      </c>
      <c r="AD36" s="28">
        <f t="shared" si="36"/>
        <v>-203.87434438666668</v>
      </c>
      <c r="AF36" s="6" t="s">
        <v>1</v>
      </c>
      <c r="AG36" s="4">
        <v>0</v>
      </c>
      <c r="AH36" s="5">
        <v>8.78E-7</v>
      </c>
      <c r="AI36" s="5">
        <v>6.0099999999999997E-4</v>
      </c>
      <c r="AJ36" s="4">
        <v>28.7</v>
      </c>
      <c r="AK36" s="4"/>
      <c r="AL36" s="4"/>
      <c r="AM36" s="4"/>
      <c r="AU36" s="6"/>
      <c r="AV36" s="28">
        <f>AX18+AU35</f>
        <v>4423.5217807871813</v>
      </c>
      <c r="AW36" s="6"/>
      <c r="AX36" s="6">
        <f>AX21</f>
        <v>249</v>
      </c>
      <c r="AY36" s="6"/>
    </row>
    <row r="37" spans="1:51" x14ac:dyDescent="0.2">
      <c r="A37" s="28">
        <f t="shared" si="32"/>
        <v>-109.80443095716667</v>
      </c>
      <c r="B37" s="28">
        <f t="shared" si="32"/>
        <v>-108.34274452149999</v>
      </c>
      <c r="E37" s="6" t="s">
        <v>3</v>
      </c>
      <c r="F37" s="28">
        <f t="shared" si="33"/>
        <v>-106.86694778583333</v>
      </c>
      <c r="G37" s="28">
        <f t="shared" si="33"/>
        <v>-106.86694778583333</v>
      </c>
      <c r="H37" s="28">
        <f t="shared" si="33"/>
        <v>-107.75412214323333</v>
      </c>
      <c r="I37" s="28">
        <f t="shared" si="33"/>
        <v>-107.75412214323333</v>
      </c>
      <c r="J37" s="28">
        <f t="shared" si="33"/>
        <v>-109.80443095716667</v>
      </c>
      <c r="K37" s="28">
        <f t="shared" si="33"/>
        <v>-109.80443095716667</v>
      </c>
      <c r="L37" s="28">
        <f t="shared" si="33"/>
        <v>-109.80443095716667</v>
      </c>
      <c r="M37" s="28">
        <f t="shared" si="33"/>
        <v>-107.17609495828482</v>
      </c>
      <c r="N37" s="28">
        <f t="shared" si="33"/>
        <v>-106.76574101776708</v>
      </c>
      <c r="O37" s="28">
        <f t="shared" si="34"/>
        <v>-104.05405794646001</v>
      </c>
      <c r="P37" s="28">
        <f t="shared" si="35"/>
        <v>-103.90302677589334</v>
      </c>
      <c r="Q37" s="28">
        <f t="shared" si="35"/>
        <v>-103.90302677589334</v>
      </c>
      <c r="R37" s="28">
        <f t="shared" si="35"/>
        <v>-103.90302677589334</v>
      </c>
      <c r="S37" s="28">
        <f t="shared" si="35"/>
        <v>-104.34334668336504</v>
      </c>
      <c r="T37" s="28">
        <f t="shared" si="35"/>
        <v>-109.80443095716667</v>
      </c>
      <c r="U37" s="28">
        <f t="shared" si="35"/>
        <v>-109.80443095716667</v>
      </c>
      <c r="V37" s="28">
        <f t="shared" si="36"/>
        <v>-109.80443095716667</v>
      </c>
      <c r="W37" s="28">
        <f t="shared" si="36"/>
        <v>-109.2214460989</v>
      </c>
      <c r="X37" s="28">
        <f t="shared" si="36"/>
        <v>-108.17604436249982</v>
      </c>
      <c r="Y37" s="28">
        <f t="shared" si="36"/>
        <v>-109.80443095716667</v>
      </c>
      <c r="Z37" s="28">
        <f t="shared" si="36"/>
        <v>-109.80443095716667</v>
      </c>
      <c r="AA37" s="28">
        <f t="shared" si="36"/>
        <v>-109.80443095716667</v>
      </c>
      <c r="AB37" s="28">
        <f t="shared" si="36"/>
        <v>-109.80443095716667</v>
      </c>
      <c r="AC37" s="28">
        <f t="shared" si="36"/>
        <v>-107.12739359309496</v>
      </c>
      <c r="AD37" s="28">
        <f t="shared" si="36"/>
        <v>-109.80443095716667</v>
      </c>
      <c r="AF37" s="6" t="s">
        <v>2</v>
      </c>
      <c r="AG37" s="4">
        <v>-205</v>
      </c>
      <c r="AH37" s="5">
        <v>-2.72E-5</v>
      </c>
      <c r="AI37" s="4">
        <v>0.1</v>
      </c>
      <c r="AJ37" s="4">
        <v>16.600000000000001</v>
      </c>
      <c r="AK37" s="4"/>
      <c r="AL37" s="4"/>
      <c r="AM37" s="4"/>
      <c r="AU37" s="6">
        <v>4000</v>
      </c>
      <c r="AV37" s="6">
        <f>0+AU37</f>
        <v>4000</v>
      </c>
      <c r="AW37" s="6"/>
      <c r="AX37" s="6"/>
      <c r="AY37" s="6">
        <f>AY20</f>
        <v>249</v>
      </c>
    </row>
    <row r="38" spans="1:51" x14ac:dyDescent="0.2">
      <c r="A38" s="28">
        <f t="shared" si="32"/>
        <v>-242.26168428211665</v>
      </c>
      <c r="B38" s="28">
        <f t="shared" si="32"/>
        <v>-241.10841153134999</v>
      </c>
      <c r="E38" s="6" t="s">
        <v>4</v>
      </c>
      <c r="F38" s="28">
        <f t="shared" si="33"/>
        <v>-239.92245911058333</v>
      </c>
      <c r="G38" s="28">
        <f t="shared" si="33"/>
        <v>-239.92245911058333</v>
      </c>
      <c r="H38" s="28">
        <f t="shared" si="33"/>
        <v>-240.63794033544332</v>
      </c>
      <c r="I38" s="28">
        <f t="shared" si="33"/>
        <v>-240.63794033544332</v>
      </c>
      <c r="J38" s="28">
        <f t="shared" si="33"/>
        <v>-242.26168428211665</v>
      </c>
      <c r="K38" s="28">
        <f t="shared" si="33"/>
        <v>-242.26168428211665</v>
      </c>
      <c r="L38" s="28">
        <f t="shared" si="33"/>
        <v>-242.26168428211665</v>
      </c>
      <c r="M38" s="28">
        <f t="shared" si="33"/>
        <v>-240.17263973326766</v>
      </c>
      <c r="N38" s="28">
        <f t="shared" si="33"/>
        <v>-239.84035791335708</v>
      </c>
      <c r="O38" s="28">
        <f t="shared" si="34"/>
        <v>-237.60513518309401</v>
      </c>
      <c r="P38" s="28">
        <f t="shared" si="35"/>
        <v>-237.47868563771732</v>
      </c>
      <c r="Q38" s="28">
        <f t="shared" si="35"/>
        <v>-237.47868563771732</v>
      </c>
      <c r="R38" s="28">
        <f t="shared" si="35"/>
        <v>-237.47868563771732</v>
      </c>
      <c r="S38" s="28">
        <f t="shared" si="35"/>
        <v>-237.8467762025345</v>
      </c>
      <c r="T38" s="28">
        <f t="shared" si="35"/>
        <v>-242.26168428211665</v>
      </c>
      <c r="U38" s="28">
        <f t="shared" si="35"/>
        <v>-242.26168428211665</v>
      </c>
      <c r="V38" s="28">
        <f t="shared" si="36"/>
        <v>-242.26168428211665</v>
      </c>
      <c r="W38" s="28">
        <f t="shared" si="36"/>
        <v>-241.80431021421001</v>
      </c>
      <c r="X38" s="28">
        <f t="shared" si="36"/>
        <v>-240.97551939250712</v>
      </c>
      <c r="Y38" s="28">
        <f t="shared" si="36"/>
        <v>-242.26168428211665</v>
      </c>
      <c r="Z38" s="28">
        <f t="shared" si="36"/>
        <v>-242.26168428211665</v>
      </c>
      <c r="AA38" s="28">
        <f t="shared" si="36"/>
        <v>-242.26168428211665</v>
      </c>
      <c r="AB38" s="28">
        <f t="shared" si="36"/>
        <v>-242.26168428211665</v>
      </c>
      <c r="AC38" s="28">
        <f t="shared" si="36"/>
        <v>-240.13328847908483</v>
      </c>
      <c r="AD38" s="28">
        <f t="shared" si="36"/>
        <v>-242.26168428211665</v>
      </c>
      <c r="AF38" s="6" t="s">
        <v>3</v>
      </c>
      <c r="AG38" s="4">
        <v>-110.53</v>
      </c>
      <c r="AH38" s="5">
        <v>2.2000000000000001E-7</v>
      </c>
      <c r="AI38" s="5">
        <v>5.4799999999999996E-3</v>
      </c>
      <c r="AJ38" s="4">
        <v>27.3</v>
      </c>
      <c r="AK38" s="4"/>
      <c r="AL38" s="4"/>
      <c r="AM38" s="4"/>
      <c r="AU38" s="6"/>
      <c r="AV38" s="28">
        <f>AY18+AU37</f>
        <v>-37531.623065378371</v>
      </c>
      <c r="AW38" s="6"/>
      <c r="AX38" s="6"/>
      <c r="AY38" s="6">
        <f>AY21</f>
        <v>50</v>
      </c>
    </row>
    <row r="39" spans="1:51" x14ac:dyDescent="0.2">
      <c r="A39" s="28">
        <f t="shared" si="32"/>
        <v>0.73750000000000004</v>
      </c>
      <c r="B39" s="28">
        <f t="shared" si="32"/>
        <v>2.2124999999999999</v>
      </c>
      <c r="E39" s="6" t="s">
        <v>5</v>
      </c>
      <c r="F39" s="28">
        <f t="shared" si="33"/>
        <v>3.6875</v>
      </c>
      <c r="G39" s="28">
        <f t="shared" si="33"/>
        <v>3.6875</v>
      </c>
      <c r="H39" s="28">
        <f t="shared" si="33"/>
        <v>2.8025000000000002</v>
      </c>
      <c r="I39" s="28">
        <f t="shared" si="33"/>
        <v>2.8025000000000002</v>
      </c>
      <c r="J39" s="28">
        <f t="shared" si="33"/>
        <v>0.73750000000000004</v>
      </c>
      <c r="K39" s="28">
        <f t="shared" si="33"/>
        <v>0.73750000000000004</v>
      </c>
      <c r="L39" s="28">
        <f t="shared" si="33"/>
        <v>0.73750000000000004</v>
      </c>
      <c r="M39" s="28">
        <f t="shared" si="33"/>
        <v>3.3796868713197465</v>
      </c>
      <c r="N39" s="28">
        <f t="shared" si="33"/>
        <v>3.7881368225616332</v>
      </c>
      <c r="O39" s="28">
        <f t="shared" si="34"/>
        <v>6.4605000000000006</v>
      </c>
      <c r="P39" s="28">
        <f t="shared" si="35"/>
        <v>6.6080000000000005</v>
      </c>
      <c r="Q39" s="28">
        <f t="shared" si="35"/>
        <v>6.6080000000000005</v>
      </c>
      <c r="R39" s="28">
        <f t="shared" si="35"/>
        <v>6.6080000000000005</v>
      </c>
      <c r="S39" s="28">
        <f t="shared" si="35"/>
        <v>6.1775850210217742</v>
      </c>
      <c r="T39" s="28">
        <f t="shared" si="35"/>
        <v>0.73750000000000004</v>
      </c>
      <c r="U39" s="28">
        <f t="shared" si="35"/>
        <v>0.73750000000000004</v>
      </c>
      <c r="V39" s="28">
        <f t="shared" si="36"/>
        <v>0.73750000000000004</v>
      </c>
      <c r="W39" s="28">
        <f t="shared" si="36"/>
        <v>1.3275000000000001</v>
      </c>
      <c r="X39" s="28">
        <f t="shared" si="36"/>
        <v>2.3798203382819563</v>
      </c>
      <c r="Y39" s="28">
        <f t="shared" si="36"/>
        <v>0.73750000000000004</v>
      </c>
      <c r="Z39" s="28">
        <f t="shared" si="36"/>
        <v>0.73750000000000004</v>
      </c>
      <c r="AA39" s="28">
        <f t="shared" si="36"/>
        <v>0.73750000000000004</v>
      </c>
      <c r="AB39" s="28">
        <f t="shared" si="36"/>
        <v>0.73750000000000004</v>
      </c>
      <c r="AC39" s="28">
        <f t="shared" si="36"/>
        <v>3.4282188462188645</v>
      </c>
      <c r="AD39" s="28">
        <f t="shared" si="36"/>
        <v>0.73750000000000004</v>
      </c>
      <c r="AF39" s="6" t="s">
        <v>4</v>
      </c>
      <c r="AG39" s="4">
        <v>-242.82599999999999</v>
      </c>
      <c r="AH39" s="5">
        <v>-8.4200000000000005E-7</v>
      </c>
      <c r="AI39" s="5">
        <v>1.37E-2</v>
      </c>
      <c r="AJ39" s="4">
        <v>18.399999999999999</v>
      </c>
      <c r="AK39" s="4"/>
      <c r="AL39" s="4"/>
      <c r="AM39" s="4"/>
    </row>
    <row r="40" spans="1:51" x14ac:dyDescent="0.2">
      <c r="A40" s="37">
        <f>A34*A18+A35*A19+A36*A20+A37*A21+A38*A22+A39*A23</f>
        <v>-128312.58976278358</v>
      </c>
      <c r="B40" s="37">
        <f>B34*B18+B35*B19+B36*B20+B37*B21+B38*B22+B39*B23</f>
        <v>-123063.15757593043</v>
      </c>
      <c r="E40" s="36" t="s">
        <v>94</v>
      </c>
      <c r="F40" s="37">
        <f>F34*F18+F35*F19+F36*F20+F37*F21+F38*F22+F39*F23</f>
        <v>-101279.12948867917</v>
      </c>
      <c r="G40" s="37">
        <f>G34*G18+G35*G19+G36*G20+G37*G21+G38*G22+G39*G23</f>
        <v>-101279.12948867917</v>
      </c>
      <c r="H40" s="37">
        <f t="shared" ref="H40" si="37">H34*H18+H35*H19+H36*H20+H37*H21+H38*H22+H39*H23</f>
        <v>1774.8925723660648</v>
      </c>
      <c r="I40" s="37">
        <f t="shared" ref="I40:K40" si="38">I34*I18+I35*I19+I36*I20+I37*I21+I38*I22+I39*I23</f>
        <v>1774.8925723660648</v>
      </c>
      <c r="J40" s="37">
        <f t="shared" si="38"/>
        <v>-14952.760761787831</v>
      </c>
      <c r="K40" s="37">
        <f t="shared" si="38"/>
        <v>-113359.82900099577</v>
      </c>
      <c r="L40" s="37">
        <f t="shared" ref="L40:M40" si="39">L34*L18+L35*L19+L36*L20+L37*L21+L38*L22+L39*L23</f>
        <v>-113359.82900099577</v>
      </c>
      <c r="M40" s="37">
        <f t="shared" si="39"/>
        <v>-218214.221911131</v>
      </c>
      <c r="N40" s="37">
        <f t="shared" ref="N40" si="40">N34*N18+N35*N19+N36*N20+N37*N21+N38*N22+N39*N23</f>
        <v>-216231.95042364846</v>
      </c>
      <c r="O40" s="37">
        <f t="shared" ref="O40" si="41">O34*O18+O35*O19+O36*O20+O37*O21+O38*O22+O39*O23</f>
        <v>-203155.47220381719</v>
      </c>
      <c r="P40" s="37">
        <f t="shared" ref="P40:U40" si="42">P34*P18+P35*P19+P36*P20+P37*P21+P38*P22+P39*P23</f>
        <v>-202428.47414123931</v>
      </c>
      <c r="Q40" s="37">
        <f t="shared" si="42"/>
        <v>-215504.95236045212</v>
      </c>
      <c r="R40" s="37">
        <f t="shared" si="42"/>
        <v>-215504.95236045212</v>
      </c>
      <c r="S40" s="37">
        <f t="shared" si="42"/>
        <v>-217487.22445798936</v>
      </c>
      <c r="T40" s="37">
        <f t="shared" si="42"/>
        <v>-151146.43866799434</v>
      </c>
      <c r="U40" s="37">
        <f t="shared" si="42"/>
        <v>0</v>
      </c>
      <c r="V40" s="37">
        <f t="shared" ref="V40:AB40" si="43">V34*V18+V35*V19+V36*V20+V37*V21+V38*V22+V39*V23</f>
        <v>0</v>
      </c>
      <c r="W40" s="37">
        <f t="shared" si="43"/>
        <v>0</v>
      </c>
      <c r="X40" s="37">
        <f t="shared" si="43"/>
        <v>0</v>
      </c>
      <c r="Y40" s="37">
        <f t="shared" si="43"/>
        <v>-151146.43866799434</v>
      </c>
      <c r="Z40" s="37">
        <f t="shared" si="43"/>
        <v>-37786.609666998585</v>
      </c>
      <c r="AA40" s="37">
        <f t="shared" si="43"/>
        <v>-22833.848905210754</v>
      </c>
      <c r="AB40" s="37">
        <f t="shared" si="43"/>
        <v>-22833.848905210754</v>
      </c>
      <c r="AC40" s="37">
        <f t="shared" ref="AC40:AD40" si="44">AC34*AC18+AC35*AC19+AC36*AC20+AC37*AC21+AC38*AC22+AC39*AC23</f>
        <v>-118709.98473813542</v>
      </c>
      <c r="AD40" s="37">
        <f t="shared" si="44"/>
        <v>-128312.58976278358</v>
      </c>
      <c r="AF40" s="6" t="s">
        <v>5</v>
      </c>
      <c r="AG40" s="4">
        <v>0</v>
      </c>
      <c r="AH40" s="5">
        <v>0</v>
      </c>
      <c r="AI40" s="5">
        <v>0</v>
      </c>
      <c r="AJ40" s="4">
        <v>29.5</v>
      </c>
      <c r="AK40" s="4"/>
      <c r="AL40" s="4"/>
      <c r="AM40" s="4"/>
    </row>
    <row r="41" spans="1:51" x14ac:dyDescent="0.2">
      <c r="A41" s="27"/>
      <c r="B41" s="27"/>
      <c r="E41" s="27" t="s">
        <v>82</v>
      </c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F41" s="6"/>
      <c r="AG41" s="4"/>
      <c r="AH41" s="4"/>
      <c r="AI41" s="4"/>
      <c r="AJ41" s="4"/>
      <c r="AK41" s="4"/>
      <c r="AL41" s="4"/>
      <c r="AM41" s="4"/>
    </row>
    <row r="42" spans="1:51" x14ac:dyDescent="0.2">
      <c r="A42" s="28">
        <f t="shared" ref="A42:B47" si="45">$AG43+($AH43/3*((A$15+273)^3-298^3)+$AI43/2*((A$15+273)^2-298^2)+$AJ43*(A$15+273-298))*0.001</f>
        <v>0</v>
      </c>
      <c r="B42" s="28">
        <f t="shared" si="45"/>
        <v>0</v>
      </c>
      <c r="E42" s="6" t="s">
        <v>0</v>
      </c>
      <c r="F42" s="28">
        <f t="shared" ref="F42:N47" si="46">$AG43+($AH43/3*((F$15+273)^3-298^3)+$AI43/2*((F$15+273)^2-298^2)+$AJ43*(F$15+273-298))*0.001</f>
        <v>0</v>
      </c>
      <c r="G42" s="28">
        <f t="shared" si="46"/>
        <v>0</v>
      </c>
      <c r="H42" s="28">
        <f t="shared" si="46"/>
        <v>0</v>
      </c>
      <c r="I42" s="28">
        <f t="shared" si="46"/>
        <v>0</v>
      </c>
      <c r="J42" s="28">
        <f t="shared" si="46"/>
        <v>0</v>
      </c>
      <c r="K42" s="28">
        <f t="shared" si="46"/>
        <v>0</v>
      </c>
      <c r="L42" s="28">
        <f t="shared" si="46"/>
        <v>0</v>
      </c>
      <c r="M42" s="28">
        <f t="shared" si="46"/>
        <v>0</v>
      </c>
      <c r="N42" s="28">
        <f t="shared" si="46"/>
        <v>0</v>
      </c>
      <c r="O42" s="28">
        <f t="shared" ref="O42:O47" si="47">$AG43+($AH43/3*((O$15+273)^3-298^3)+$AI43/2*((O$15+273)^2-298^2)+$AJ43*(O$15+273-298))*0.001</f>
        <v>0</v>
      </c>
      <c r="P42" s="28">
        <f t="shared" ref="P42:U47" si="48">$AG43+($AH43/3*((P$15+273)^3-298^3)+$AI43/2*((P$15+273)^2-298^2)+$AJ43*(P$15+273-298))*0.001</f>
        <v>0</v>
      </c>
      <c r="Q42" s="28">
        <f t="shared" si="48"/>
        <v>0</v>
      </c>
      <c r="R42" s="28">
        <f t="shared" si="48"/>
        <v>0</v>
      </c>
      <c r="S42" s="28">
        <f t="shared" si="48"/>
        <v>0</v>
      </c>
      <c r="T42" s="28">
        <f t="shared" si="48"/>
        <v>0</v>
      </c>
      <c r="U42" s="28">
        <f t="shared" si="48"/>
        <v>0</v>
      </c>
      <c r="V42" s="28">
        <f t="shared" ref="V42:AD47" si="49">$AG43+($AH43/3*((V$15+273)^3-298^3)+$AI43/2*((V$15+273)^2-298^2)+$AJ43*(V$15+273-298))*0.001</f>
        <v>0</v>
      </c>
      <c r="W42" s="28">
        <f t="shared" si="49"/>
        <v>0</v>
      </c>
      <c r="X42" s="28">
        <f t="shared" si="49"/>
        <v>0</v>
      </c>
      <c r="Y42" s="28">
        <f t="shared" si="49"/>
        <v>0</v>
      </c>
      <c r="Z42" s="28">
        <f t="shared" si="49"/>
        <v>0</v>
      </c>
      <c r="AA42" s="28">
        <f t="shared" si="49"/>
        <v>0</v>
      </c>
      <c r="AB42" s="28">
        <f t="shared" si="49"/>
        <v>0</v>
      </c>
      <c r="AC42" s="28">
        <f t="shared" si="49"/>
        <v>0</v>
      </c>
      <c r="AD42" s="28">
        <f t="shared" si="49"/>
        <v>0</v>
      </c>
      <c r="AF42" s="6" t="s">
        <v>103</v>
      </c>
      <c r="AG42" s="3" t="s">
        <v>83</v>
      </c>
      <c r="AH42" s="3" t="s">
        <v>84</v>
      </c>
      <c r="AI42" s="3" t="s">
        <v>85</v>
      </c>
      <c r="AJ42" s="3" t="s">
        <v>86</v>
      </c>
      <c r="AK42" s="3" t="s">
        <v>87</v>
      </c>
      <c r="AL42" s="3" t="s">
        <v>88</v>
      </c>
      <c r="AM42" s="3" t="s">
        <v>89</v>
      </c>
    </row>
    <row r="43" spans="1:51" x14ac:dyDescent="0.2">
      <c r="A43" s="28">
        <f t="shared" si="45"/>
        <v>0</v>
      </c>
      <c r="B43" s="28">
        <f t="shared" si="45"/>
        <v>0</v>
      </c>
      <c r="E43" s="6" t="s">
        <v>1</v>
      </c>
      <c r="F43" s="28">
        <f t="shared" si="46"/>
        <v>0</v>
      </c>
      <c r="G43" s="28">
        <f t="shared" si="46"/>
        <v>0</v>
      </c>
      <c r="H43" s="28">
        <f t="shared" si="46"/>
        <v>0</v>
      </c>
      <c r="I43" s="28">
        <f t="shared" si="46"/>
        <v>0</v>
      </c>
      <c r="J43" s="28">
        <f t="shared" si="46"/>
        <v>0</v>
      </c>
      <c r="K43" s="28">
        <f t="shared" si="46"/>
        <v>0</v>
      </c>
      <c r="L43" s="28">
        <f t="shared" si="46"/>
        <v>0</v>
      </c>
      <c r="M43" s="28">
        <f t="shared" si="46"/>
        <v>0</v>
      </c>
      <c r="N43" s="28">
        <f t="shared" si="46"/>
        <v>0</v>
      </c>
      <c r="O43" s="28">
        <f t="shared" si="47"/>
        <v>0</v>
      </c>
      <c r="P43" s="28">
        <f t="shared" si="48"/>
        <v>0</v>
      </c>
      <c r="Q43" s="28">
        <f t="shared" si="48"/>
        <v>0</v>
      </c>
      <c r="R43" s="28">
        <f t="shared" si="48"/>
        <v>0</v>
      </c>
      <c r="S43" s="28">
        <f t="shared" si="48"/>
        <v>0</v>
      </c>
      <c r="T43" s="28">
        <f t="shared" si="48"/>
        <v>0</v>
      </c>
      <c r="U43" s="28">
        <f t="shared" si="48"/>
        <v>0</v>
      </c>
      <c r="V43" s="28">
        <f t="shared" si="49"/>
        <v>0</v>
      </c>
      <c r="W43" s="28">
        <f t="shared" si="49"/>
        <v>0</v>
      </c>
      <c r="X43" s="28">
        <f t="shared" si="49"/>
        <v>0</v>
      </c>
      <c r="Y43" s="28">
        <f t="shared" si="49"/>
        <v>0</v>
      </c>
      <c r="Z43" s="28">
        <f t="shared" si="49"/>
        <v>0</v>
      </c>
      <c r="AA43" s="28">
        <f t="shared" si="49"/>
        <v>0</v>
      </c>
      <c r="AB43" s="28">
        <f t="shared" si="49"/>
        <v>0</v>
      </c>
      <c r="AC43" s="28">
        <f t="shared" si="49"/>
        <v>0</v>
      </c>
      <c r="AD43" s="28">
        <f t="shared" si="49"/>
        <v>0</v>
      </c>
      <c r="AF43" s="6" t="s">
        <v>0</v>
      </c>
      <c r="AG43" s="4"/>
      <c r="AH43" s="4"/>
      <c r="AI43" s="4"/>
      <c r="AJ43" s="4"/>
      <c r="AK43" s="4"/>
      <c r="AL43" s="4"/>
      <c r="AM43" s="4"/>
    </row>
    <row r="44" spans="1:51" x14ac:dyDescent="0.2">
      <c r="A44" s="28">
        <f t="shared" si="45"/>
        <v>-236.375</v>
      </c>
      <c r="B44" s="28">
        <f t="shared" si="45"/>
        <v>-232.32500000000002</v>
      </c>
      <c r="E44" s="6" t="s">
        <v>2</v>
      </c>
      <c r="F44" s="28">
        <f t="shared" si="46"/>
        <v>-228.27500000000001</v>
      </c>
      <c r="G44" s="28">
        <f t="shared" si="46"/>
        <v>-228.27500000000001</v>
      </c>
      <c r="H44" s="28">
        <f t="shared" si="46"/>
        <v>-230.70500000000001</v>
      </c>
      <c r="I44" s="28">
        <f t="shared" si="46"/>
        <v>-230.70500000000001</v>
      </c>
      <c r="J44" s="28">
        <f t="shared" si="46"/>
        <v>-236.375</v>
      </c>
      <c r="K44" s="28">
        <f t="shared" si="46"/>
        <v>-236.375</v>
      </c>
      <c r="L44" s="28">
        <f t="shared" si="46"/>
        <v>-236.375</v>
      </c>
      <c r="M44" s="28">
        <f t="shared" si="46"/>
        <v>-229.12018181095257</v>
      </c>
      <c r="N44" s="28">
        <f t="shared" si="46"/>
        <v>-227.99867516516977</v>
      </c>
      <c r="O44" s="28">
        <f t="shared" si="47"/>
        <v>-220.661</v>
      </c>
      <c r="P44" s="28">
        <f t="shared" si="48"/>
        <v>-220.256</v>
      </c>
      <c r="Q44" s="28">
        <f t="shared" si="48"/>
        <v>-220.256</v>
      </c>
      <c r="R44" s="28">
        <f t="shared" si="48"/>
        <v>-220.256</v>
      </c>
      <c r="S44" s="28">
        <f t="shared" si="48"/>
        <v>-221.43781739990632</v>
      </c>
      <c r="T44" s="28">
        <f t="shared" si="48"/>
        <v>-236.375</v>
      </c>
      <c r="U44" s="28">
        <f t="shared" si="48"/>
        <v>-236.375</v>
      </c>
      <c r="V44" s="28">
        <f t="shared" si="49"/>
        <v>-236.375</v>
      </c>
      <c r="W44" s="28">
        <f t="shared" si="49"/>
        <v>-234.755</v>
      </c>
      <c r="X44" s="28">
        <f t="shared" si="49"/>
        <v>-231.86557805420887</v>
      </c>
      <c r="Y44" s="28">
        <f t="shared" si="49"/>
        <v>-236.375</v>
      </c>
      <c r="Z44" s="28">
        <f t="shared" si="49"/>
        <v>-236.375</v>
      </c>
      <c r="AA44" s="28">
        <f t="shared" si="49"/>
        <v>-236.375</v>
      </c>
      <c r="AB44" s="28">
        <f t="shared" si="49"/>
        <v>-236.375</v>
      </c>
      <c r="AC44" s="28">
        <f t="shared" si="49"/>
        <v>-228.98692452394144</v>
      </c>
      <c r="AD44" s="28">
        <f t="shared" si="49"/>
        <v>-236.375</v>
      </c>
      <c r="AF44" s="6" t="s">
        <v>1</v>
      </c>
      <c r="AG44" s="4"/>
      <c r="AH44" s="4"/>
      <c r="AI44" s="4"/>
      <c r="AJ44" s="4"/>
      <c r="AK44" s="4"/>
      <c r="AL44" s="4"/>
      <c r="AM44" s="4"/>
    </row>
    <row r="45" spans="1:51" x14ac:dyDescent="0.2">
      <c r="A45" s="28">
        <f t="shared" si="45"/>
        <v>0</v>
      </c>
      <c r="B45" s="28">
        <f t="shared" si="45"/>
        <v>0</v>
      </c>
      <c r="E45" s="6" t="s">
        <v>3</v>
      </c>
      <c r="F45" s="28">
        <f t="shared" si="46"/>
        <v>0</v>
      </c>
      <c r="G45" s="28">
        <f t="shared" si="46"/>
        <v>0</v>
      </c>
      <c r="H45" s="28">
        <f t="shared" si="46"/>
        <v>0</v>
      </c>
      <c r="I45" s="28">
        <f t="shared" si="46"/>
        <v>0</v>
      </c>
      <c r="J45" s="28">
        <f t="shared" si="46"/>
        <v>0</v>
      </c>
      <c r="K45" s="28">
        <f t="shared" si="46"/>
        <v>0</v>
      </c>
      <c r="L45" s="28">
        <f t="shared" si="46"/>
        <v>0</v>
      </c>
      <c r="M45" s="28">
        <f t="shared" si="46"/>
        <v>0</v>
      </c>
      <c r="N45" s="28">
        <f t="shared" si="46"/>
        <v>0</v>
      </c>
      <c r="O45" s="28">
        <f t="shared" si="47"/>
        <v>0</v>
      </c>
      <c r="P45" s="28">
        <f t="shared" si="48"/>
        <v>0</v>
      </c>
      <c r="Q45" s="28">
        <f t="shared" si="48"/>
        <v>0</v>
      </c>
      <c r="R45" s="28">
        <f t="shared" si="48"/>
        <v>0</v>
      </c>
      <c r="S45" s="28">
        <f t="shared" si="48"/>
        <v>0</v>
      </c>
      <c r="T45" s="28">
        <f t="shared" si="48"/>
        <v>0</v>
      </c>
      <c r="U45" s="28">
        <f t="shared" si="48"/>
        <v>0</v>
      </c>
      <c r="V45" s="28">
        <f t="shared" si="49"/>
        <v>0</v>
      </c>
      <c r="W45" s="28">
        <f t="shared" si="49"/>
        <v>0</v>
      </c>
      <c r="X45" s="28">
        <f t="shared" si="49"/>
        <v>0</v>
      </c>
      <c r="Y45" s="28">
        <f t="shared" si="49"/>
        <v>0</v>
      </c>
      <c r="Z45" s="28">
        <f t="shared" si="49"/>
        <v>0</v>
      </c>
      <c r="AA45" s="28">
        <f t="shared" si="49"/>
        <v>0</v>
      </c>
      <c r="AB45" s="28">
        <f t="shared" si="49"/>
        <v>0</v>
      </c>
      <c r="AC45" s="28">
        <f t="shared" si="49"/>
        <v>0</v>
      </c>
      <c r="AD45" s="28">
        <f t="shared" si="49"/>
        <v>0</v>
      </c>
      <c r="AF45" s="6" t="s">
        <v>2</v>
      </c>
      <c r="AG45" s="4">
        <v>-238.4</v>
      </c>
      <c r="AH45" s="4">
        <v>0</v>
      </c>
      <c r="AI45" s="4">
        <v>0</v>
      </c>
      <c r="AJ45" s="4">
        <v>81</v>
      </c>
      <c r="AK45" s="4">
        <v>5.2040899999999999</v>
      </c>
      <c r="AL45" s="4">
        <v>1581.3409999999999</v>
      </c>
      <c r="AM45" s="4">
        <v>-33.5</v>
      </c>
    </row>
    <row r="46" spans="1:51" x14ac:dyDescent="0.2">
      <c r="A46" s="28">
        <f t="shared" si="45"/>
        <v>-283.93</v>
      </c>
      <c r="B46" s="28">
        <f t="shared" si="45"/>
        <v>-280.13</v>
      </c>
      <c r="E46" s="6" t="s">
        <v>4</v>
      </c>
      <c r="F46" s="28">
        <f t="shared" si="46"/>
        <v>-276.33</v>
      </c>
      <c r="G46" s="28">
        <f t="shared" si="46"/>
        <v>-276.33</v>
      </c>
      <c r="H46" s="28">
        <f t="shared" si="46"/>
        <v>-278.60999999999996</v>
      </c>
      <c r="I46" s="28">
        <f t="shared" si="46"/>
        <v>-278.60999999999996</v>
      </c>
      <c r="J46" s="28">
        <f t="shared" si="46"/>
        <v>-283.93</v>
      </c>
      <c r="K46" s="28">
        <f t="shared" si="46"/>
        <v>-283.93</v>
      </c>
      <c r="L46" s="28">
        <f t="shared" si="46"/>
        <v>-283.93</v>
      </c>
      <c r="M46" s="28">
        <f t="shared" si="46"/>
        <v>-277.12301009422708</v>
      </c>
      <c r="N46" s="28">
        <f t="shared" si="46"/>
        <v>-276.07073225373949</v>
      </c>
      <c r="O46" s="28">
        <f t="shared" si="47"/>
        <v>-269.18599999999998</v>
      </c>
      <c r="P46" s="28">
        <f t="shared" si="48"/>
        <v>-268.80599999999998</v>
      </c>
      <c r="Q46" s="28">
        <f t="shared" si="48"/>
        <v>-268.80599999999998</v>
      </c>
      <c r="R46" s="28">
        <f t="shared" si="48"/>
        <v>-268.80599999999998</v>
      </c>
      <c r="S46" s="28">
        <f t="shared" si="48"/>
        <v>-269.91486570855403</v>
      </c>
      <c r="T46" s="28">
        <f t="shared" si="48"/>
        <v>-283.93</v>
      </c>
      <c r="U46" s="28">
        <f t="shared" si="48"/>
        <v>-283.93</v>
      </c>
      <c r="V46" s="28">
        <f t="shared" si="49"/>
        <v>-283.93</v>
      </c>
      <c r="W46" s="28">
        <f t="shared" si="49"/>
        <v>-282.40999999999997</v>
      </c>
      <c r="X46" s="28">
        <f t="shared" si="49"/>
        <v>-279.69893743357869</v>
      </c>
      <c r="Y46" s="28">
        <f t="shared" si="49"/>
        <v>-283.93</v>
      </c>
      <c r="Z46" s="28">
        <f t="shared" si="49"/>
        <v>-283.93</v>
      </c>
      <c r="AA46" s="28">
        <f t="shared" si="49"/>
        <v>-283.93</v>
      </c>
      <c r="AB46" s="28">
        <f t="shared" si="49"/>
        <v>-283.93</v>
      </c>
      <c r="AC46" s="28">
        <f t="shared" si="49"/>
        <v>-276.99797856567341</v>
      </c>
      <c r="AD46" s="28">
        <f t="shared" si="49"/>
        <v>-283.93</v>
      </c>
      <c r="AF46" s="6" t="s">
        <v>3</v>
      </c>
      <c r="AG46" s="4"/>
      <c r="AH46" s="4"/>
      <c r="AI46" s="4"/>
      <c r="AJ46" s="4"/>
      <c r="AK46" s="4"/>
      <c r="AL46" s="4"/>
      <c r="AM46" s="4"/>
    </row>
    <row r="47" spans="1:51" x14ac:dyDescent="0.2">
      <c r="A47" s="28">
        <f t="shared" si="45"/>
        <v>0</v>
      </c>
      <c r="B47" s="28">
        <f t="shared" si="45"/>
        <v>0</v>
      </c>
      <c r="E47" s="6" t="s">
        <v>5</v>
      </c>
      <c r="F47" s="28">
        <f t="shared" si="46"/>
        <v>0</v>
      </c>
      <c r="G47" s="28">
        <f t="shared" si="46"/>
        <v>0</v>
      </c>
      <c r="H47" s="28">
        <f t="shared" si="46"/>
        <v>0</v>
      </c>
      <c r="I47" s="28">
        <f t="shared" si="46"/>
        <v>0</v>
      </c>
      <c r="J47" s="28">
        <f t="shared" si="46"/>
        <v>0</v>
      </c>
      <c r="K47" s="28">
        <f t="shared" si="46"/>
        <v>0</v>
      </c>
      <c r="L47" s="28">
        <f t="shared" si="46"/>
        <v>0</v>
      </c>
      <c r="M47" s="28">
        <f t="shared" si="46"/>
        <v>0</v>
      </c>
      <c r="N47" s="28">
        <f t="shared" si="46"/>
        <v>0</v>
      </c>
      <c r="O47" s="28">
        <f t="shared" si="47"/>
        <v>0</v>
      </c>
      <c r="P47" s="28">
        <f t="shared" si="48"/>
        <v>0</v>
      </c>
      <c r="Q47" s="28">
        <f t="shared" si="48"/>
        <v>0</v>
      </c>
      <c r="R47" s="28">
        <f t="shared" si="48"/>
        <v>0</v>
      </c>
      <c r="S47" s="28">
        <f t="shared" si="48"/>
        <v>0</v>
      </c>
      <c r="T47" s="28">
        <f t="shared" si="48"/>
        <v>0</v>
      </c>
      <c r="U47" s="28">
        <f t="shared" si="48"/>
        <v>0</v>
      </c>
      <c r="V47" s="28">
        <f t="shared" si="49"/>
        <v>0</v>
      </c>
      <c r="W47" s="28">
        <f t="shared" si="49"/>
        <v>0</v>
      </c>
      <c r="X47" s="28">
        <f t="shared" si="49"/>
        <v>0</v>
      </c>
      <c r="Y47" s="28">
        <f t="shared" si="49"/>
        <v>0</v>
      </c>
      <c r="Z47" s="28">
        <f t="shared" si="49"/>
        <v>0</v>
      </c>
      <c r="AA47" s="28">
        <f t="shared" si="49"/>
        <v>0</v>
      </c>
      <c r="AB47" s="28">
        <f t="shared" si="49"/>
        <v>0</v>
      </c>
      <c r="AC47" s="28">
        <f t="shared" si="49"/>
        <v>0</v>
      </c>
      <c r="AD47" s="28">
        <f t="shared" si="49"/>
        <v>0</v>
      </c>
      <c r="AF47" s="6" t="s">
        <v>4</v>
      </c>
      <c r="AG47" s="4">
        <v>-285.83</v>
      </c>
      <c r="AH47" s="4">
        <v>0</v>
      </c>
      <c r="AI47" s="4">
        <v>0</v>
      </c>
      <c r="AJ47" s="4">
        <v>76</v>
      </c>
      <c r="AK47" s="4">
        <v>4.6543000000000001</v>
      </c>
      <c r="AL47" s="4">
        <v>1435.2639999999999</v>
      </c>
      <c r="AM47" s="4">
        <v>-64.847999999999999</v>
      </c>
    </row>
    <row r="48" spans="1:51" x14ac:dyDescent="0.2">
      <c r="A48" s="37">
        <f>A42*A26+A43*A27+A44*A28+A45*A29+A46*A30+A47*A31</f>
        <v>0</v>
      </c>
      <c r="B48" s="37">
        <f>B42*B26+B43*B27+B44*B28+B45*B29+B46*B30+B47*B31</f>
        <v>0</v>
      </c>
      <c r="E48" s="36" t="s">
        <v>94</v>
      </c>
      <c r="F48" s="37">
        <f>F42*F26+F43*F27+F44*F28+F45*F29+F46*F30+F47*F31</f>
        <v>0</v>
      </c>
      <c r="G48" s="37">
        <f>G42*G26+G43*G27+G44*G28+G45*G29+G46*G30+G47*G31</f>
        <v>0</v>
      </c>
      <c r="H48" s="37">
        <f t="shared" ref="H48" si="50">H42*H26+H43*H27+H44*H28+H45*H29+H46*H30+H47*H31</f>
        <v>0</v>
      </c>
      <c r="I48" s="37">
        <f t="shared" ref="I48:K48" si="51">I42*I26+I43*I27+I44*I28+I45*I29+I46*I30+I47*I31</f>
        <v>0</v>
      </c>
      <c r="J48" s="37">
        <f t="shared" si="51"/>
        <v>0</v>
      </c>
      <c r="K48" s="37">
        <f t="shared" si="51"/>
        <v>0</v>
      </c>
      <c r="L48" s="37">
        <f t="shared" ref="L48:M48" si="52">L42*L26+L43*L27+L44*L28+L45*L29+L46*L30+L47*L31</f>
        <v>0</v>
      </c>
      <c r="M48" s="37">
        <f t="shared" si="52"/>
        <v>0</v>
      </c>
      <c r="N48" s="37">
        <f t="shared" ref="N48" si="53">N42*N26+N43*N27+N44*N28+N45*N29+N46*N30+N47*N31</f>
        <v>0</v>
      </c>
      <c r="O48" s="37">
        <f t="shared" ref="O48" si="54">O42*O26+O43*O27+O44*O28+O45*O29+O46*O30+O47*O31</f>
        <v>0</v>
      </c>
      <c r="P48" s="37">
        <f t="shared" ref="P48:U48" si="55">P42*P26+P43*P27+P44*P28+P45*P29+P46*P30+P47*P31</f>
        <v>0</v>
      </c>
      <c r="Q48" s="37">
        <f t="shared" si="55"/>
        <v>0</v>
      </c>
      <c r="R48" s="37">
        <f t="shared" si="55"/>
        <v>0</v>
      </c>
      <c r="S48" s="37">
        <f t="shared" si="55"/>
        <v>0</v>
      </c>
      <c r="T48" s="37">
        <f t="shared" si="55"/>
        <v>-105890.13675783617</v>
      </c>
      <c r="U48" s="37">
        <f t="shared" si="55"/>
        <v>-105890.13675783617</v>
      </c>
      <c r="V48" s="37">
        <f t="shared" ref="V48:AB48" si="56">V42*V26+V43*V27+V44*V28+V45*V29+V46*V30+V47*V31</f>
        <v>-105890.13675783617</v>
      </c>
      <c r="W48" s="37">
        <f t="shared" si="56"/>
        <v>-47051.04336828697</v>
      </c>
      <c r="X48" s="37">
        <f t="shared" si="56"/>
        <v>-57641.241679934246</v>
      </c>
      <c r="Y48" s="37">
        <f t="shared" si="56"/>
        <v>0</v>
      </c>
      <c r="Z48" s="37">
        <f t="shared" si="56"/>
        <v>0</v>
      </c>
      <c r="AA48" s="37">
        <f t="shared" si="56"/>
        <v>0</v>
      </c>
      <c r="AB48" s="37">
        <f t="shared" si="56"/>
        <v>0</v>
      </c>
      <c r="AC48" s="37">
        <f t="shared" ref="AC48:AD48" si="57">AC42*AC26+AC43*AC27+AC44*AC28+AC45*AC29+AC46*AC30+AC47*AC31</f>
        <v>0</v>
      </c>
      <c r="AD48" s="37">
        <f t="shared" si="57"/>
        <v>0</v>
      </c>
      <c r="AF48" s="6" t="s">
        <v>5</v>
      </c>
      <c r="AG48" s="4"/>
      <c r="AH48" s="4"/>
      <c r="AI48" s="4"/>
      <c r="AJ48" s="4"/>
      <c r="AK48" s="4"/>
      <c r="AL48" s="4"/>
      <c r="AM48" s="4"/>
    </row>
    <row r="49" spans="1:39" x14ac:dyDescent="0.2">
      <c r="A49" s="26"/>
      <c r="B49" s="26"/>
      <c r="E49" s="26" t="s">
        <v>96</v>
      </c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G49" s="7" t="s">
        <v>97</v>
      </c>
      <c r="AH49" s="7"/>
      <c r="AI49" s="7"/>
      <c r="AJ49" s="7"/>
      <c r="AK49" s="7"/>
      <c r="AL49" s="7"/>
      <c r="AM49" s="7"/>
    </row>
    <row r="50" spans="1:39" x14ac:dyDescent="0.2">
      <c r="A50" s="37">
        <f t="shared" ref="A50:B50" si="58">A48+A40</f>
        <v>-128312.58976278358</v>
      </c>
      <c r="B50" s="37">
        <f t="shared" si="58"/>
        <v>-123063.15757593043</v>
      </c>
      <c r="E50" s="36" t="s">
        <v>95</v>
      </c>
      <c r="F50" s="37">
        <f t="shared" ref="F50:G50" si="59">F48+F40</f>
        <v>-101279.12948867917</v>
      </c>
      <c r="G50" s="37">
        <f t="shared" si="59"/>
        <v>-101279.12948867917</v>
      </c>
      <c r="H50" s="37">
        <f t="shared" ref="H50:N50" si="60">H48+H40</f>
        <v>1774.8925723660648</v>
      </c>
      <c r="I50" s="37">
        <f t="shared" si="60"/>
        <v>1774.8925723660648</v>
      </c>
      <c r="J50" s="37">
        <f t="shared" si="60"/>
        <v>-14952.760761787831</v>
      </c>
      <c r="K50" s="37">
        <f t="shared" si="60"/>
        <v>-113359.82900099577</v>
      </c>
      <c r="L50" s="37">
        <f t="shared" si="60"/>
        <v>-113359.82900099577</v>
      </c>
      <c r="M50" s="37">
        <f t="shared" si="60"/>
        <v>-218214.221911131</v>
      </c>
      <c r="N50" s="37">
        <f t="shared" si="60"/>
        <v>-216231.95042364846</v>
      </c>
      <c r="O50" s="37">
        <f t="shared" ref="O50" si="61">O48+O40</f>
        <v>-203155.47220381719</v>
      </c>
      <c r="P50" s="37">
        <f t="shared" ref="P50:V50" si="62">P48+P40</f>
        <v>-202428.47414123931</v>
      </c>
      <c r="Q50" s="37">
        <f t="shared" si="62"/>
        <v>-215504.95236045212</v>
      </c>
      <c r="R50" s="37">
        <f t="shared" si="62"/>
        <v>-215504.95236045212</v>
      </c>
      <c r="S50" s="37">
        <f t="shared" si="62"/>
        <v>-217487.22445798936</v>
      </c>
      <c r="T50" s="37">
        <f t="shared" si="62"/>
        <v>-257036.5754258305</v>
      </c>
      <c r="U50" s="37">
        <f t="shared" si="62"/>
        <v>-105890.13675783617</v>
      </c>
      <c r="V50" s="37">
        <f t="shared" si="62"/>
        <v>-105890.13675783617</v>
      </c>
      <c r="W50" s="37">
        <f t="shared" ref="W50:AB50" si="63">W48+W40</f>
        <v>-47051.04336828697</v>
      </c>
      <c r="X50" s="37">
        <f t="shared" si="63"/>
        <v>-57641.241679934246</v>
      </c>
      <c r="Y50" s="37">
        <f t="shared" si="63"/>
        <v>-151146.43866799434</v>
      </c>
      <c r="Z50" s="37">
        <f t="shared" si="63"/>
        <v>-37786.609666998585</v>
      </c>
      <c r="AA50" s="37">
        <f t="shared" si="63"/>
        <v>-22833.848905210754</v>
      </c>
      <c r="AB50" s="37">
        <f t="shared" si="63"/>
        <v>-22833.848905210754</v>
      </c>
      <c r="AC50" s="37">
        <f t="shared" ref="AC50:AD50" si="64">AC48+AC40</f>
        <v>-118709.98473813542</v>
      </c>
      <c r="AD50" s="37">
        <f t="shared" si="64"/>
        <v>-128312.58976278358</v>
      </c>
      <c r="AG50" s="7" t="s">
        <v>98</v>
      </c>
      <c r="AH50" s="8">
        <f>Q50-P50</f>
        <v>-13076.478219212819</v>
      </c>
      <c r="AI50" s="7" t="s">
        <v>99</v>
      </c>
      <c r="AJ50" s="7" t="s">
        <v>100</v>
      </c>
      <c r="AK50" s="7"/>
      <c r="AL50" s="7"/>
      <c r="AM50" s="7"/>
    </row>
    <row r="51" spans="1:39" x14ac:dyDescent="0.2">
      <c r="E51" s="38" t="s">
        <v>107</v>
      </c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</row>
    <row r="52" spans="1:39" x14ac:dyDescent="0.2">
      <c r="E52" t="s">
        <v>105</v>
      </c>
      <c r="F52">
        <f>0.00008314*(F15+273)/F16*F24</f>
        <v>9.8821303796708171E-2</v>
      </c>
      <c r="G52">
        <f>0.00008314*(G15+273)/G16*G24</f>
        <v>9.9348650012632572E-2</v>
      </c>
      <c r="H52">
        <f t="shared" ref="H52" si="65">0.00008314*(H15+273)/H16*H24</f>
        <v>9.5576671651192005E-2</v>
      </c>
      <c r="I52">
        <f t="shared" ref="I52:K52" si="66">0.00008314*(I15+273)/I16*I24</f>
        <v>0.11523843242225615</v>
      </c>
      <c r="J52">
        <f t="shared" si="66"/>
        <v>0.19635410498427383</v>
      </c>
      <c r="K52">
        <f t="shared" si="66"/>
        <v>0.61717212374154173</v>
      </c>
      <c r="L52">
        <f>0.00008314*(L15+273)/L16*L24</f>
        <v>0.88920784162606292</v>
      </c>
      <c r="M52">
        <f>0.00008314*(M15+273)/M16*M24</f>
        <v>0.87522247552213051</v>
      </c>
      <c r="N52">
        <f>0.00008314*(N15+273)/N16*N24</f>
        <v>0.90723338370006001</v>
      </c>
      <c r="O52">
        <f t="shared" ref="O52" si="67">0.00008314*(O15+273)/O16*O24</f>
        <v>1.1092684999702009</v>
      </c>
      <c r="P52">
        <f t="shared" ref="P52:V52" si="68">0.00008314*(P15+273)/P16*P24</f>
        <v>1.1297228115959508</v>
      </c>
      <c r="Q52">
        <f t="shared" si="68"/>
        <v>1.050066199356072</v>
      </c>
      <c r="R52">
        <f t="shared" si="68"/>
        <v>1.7715009601762362</v>
      </c>
      <c r="S52">
        <f t="shared" si="68"/>
        <v>1.7396267093224533</v>
      </c>
      <c r="T52">
        <f t="shared" si="68"/>
        <v>1.0112599111630101</v>
      </c>
      <c r="U52">
        <f t="shared" si="68"/>
        <v>0</v>
      </c>
      <c r="V52">
        <f t="shared" si="68"/>
        <v>0</v>
      </c>
      <c r="W52">
        <f t="shared" ref="W52:AB52" si="69">0.00008314*(W15+273)/W16*W24</f>
        <v>0</v>
      </c>
      <c r="X52">
        <f t="shared" si="69"/>
        <v>0</v>
      </c>
      <c r="Y52">
        <f t="shared" si="69"/>
        <v>0.81089466215811412</v>
      </c>
      <c r="Z52">
        <f t="shared" si="69"/>
        <v>0.20572404124718055</v>
      </c>
      <c r="AA52">
        <f t="shared" si="69"/>
        <v>7.6608973447874484E-2</v>
      </c>
      <c r="AB52">
        <f t="shared" si="69"/>
        <v>0.1098344747757929</v>
      </c>
      <c r="AC52">
        <f t="shared" ref="AC52:AD52" si="70">0.00008314*(AC15+273)/AC16*AC24</f>
        <v>0.65582956245825186</v>
      </c>
      <c r="AD52">
        <f t="shared" si="70"/>
        <v>0.99323714799490326</v>
      </c>
    </row>
    <row r="53" spans="1:39" x14ac:dyDescent="0.2">
      <c r="E53" t="s">
        <v>106</v>
      </c>
      <c r="T53">
        <f>18/1*0.000001*T30+32/0.792*0.000001*T28</f>
        <v>1.1798910240622483E-2</v>
      </c>
      <c r="U53">
        <f>18/1*0.000001*U30+32/0.792*0.000001*U28</f>
        <v>1.1798910240622483E-2</v>
      </c>
      <c r="V53">
        <f t="shared" ref="V53" si="71">18/1*0.000001*V30+32/0.792*0.000001*V28</f>
        <v>1.1798910240622483E-2</v>
      </c>
      <c r="W53">
        <f t="shared" ref="W53:X53" si="72">18/1*0.000001*W30+32/0.792*0.000001*W28</f>
        <v>8.0368085086280731E-3</v>
      </c>
      <c r="X53">
        <f t="shared" si="72"/>
        <v>3.7621017319944081E-3</v>
      </c>
    </row>
    <row r="54" spans="1:39" x14ac:dyDescent="0.2">
      <c r="E54" s="38" t="s">
        <v>108</v>
      </c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</row>
    <row r="55" spans="1:39" x14ac:dyDescent="0.2">
      <c r="E55" t="s">
        <v>105</v>
      </c>
      <c r="F55">
        <f>(4*F52/(PI()*20))^0.5*100/2.54</f>
        <v>3.1227098602805832</v>
      </c>
      <c r="G55">
        <f>(4*G52/(PI()*20))^0.5*100/2.54</f>
        <v>3.1310307288331574</v>
      </c>
      <c r="H55">
        <f t="shared" ref="H55" si="73">(4*H52/(PI()*20))^0.5*100/2.54</f>
        <v>3.0710175348870123</v>
      </c>
      <c r="I55">
        <f t="shared" ref="I55:K55" si="74">(4*I52/(PI()*20))^0.5*100/2.54</f>
        <v>3.3721354892970754</v>
      </c>
      <c r="J55">
        <f t="shared" si="74"/>
        <v>4.4017597755727396</v>
      </c>
      <c r="K55">
        <f t="shared" si="74"/>
        <v>7.8038604693004219</v>
      </c>
      <c r="L55">
        <f>(4*L52/(PI()*20))^0.5*100/2.54</f>
        <v>9.3671610434830885</v>
      </c>
      <c r="M55">
        <f>(4*M52/(PI()*20))^0.5*100/2.54</f>
        <v>9.2932062477778707</v>
      </c>
      <c r="N55">
        <f>(4*N52/(PI()*20))^0.5*100/2.54</f>
        <v>9.4616277208620776</v>
      </c>
      <c r="O55">
        <f t="shared" ref="O55" si="75">(4*O52/(PI()*20))^0.5*100/2.54</f>
        <v>10.462240162054199</v>
      </c>
      <c r="P55">
        <f t="shared" ref="P55:V55" si="76">(4*P52/(PI()*20))^0.5*100/2.54</f>
        <v>10.558258579090282</v>
      </c>
      <c r="Q55">
        <f t="shared" si="76"/>
        <v>10.179224306300693</v>
      </c>
      <c r="R55">
        <f t="shared" si="76"/>
        <v>13.221387710929584</v>
      </c>
      <c r="S55">
        <f t="shared" si="76"/>
        <v>13.101902956143546</v>
      </c>
      <c r="T55">
        <f t="shared" si="76"/>
        <v>9.9893617420884144</v>
      </c>
      <c r="U55">
        <f t="shared" si="76"/>
        <v>0</v>
      </c>
      <c r="V55">
        <f t="shared" si="76"/>
        <v>0</v>
      </c>
      <c r="W55">
        <f t="shared" ref="W55:AB55" si="77">(4*W52/(PI()*20))^0.5*100/2.54</f>
        <v>0</v>
      </c>
      <c r="X55">
        <f t="shared" si="77"/>
        <v>0</v>
      </c>
      <c r="Y55">
        <f t="shared" si="77"/>
        <v>8.9451693216994013</v>
      </c>
      <c r="Z55">
        <f t="shared" si="77"/>
        <v>4.5055609426688763</v>
      </c>
      <c r="AA55">
        <f t="shared" si="77"/>
        <v>2.7494521528511404</v>
      </c>
      <c r="AB55">
        <f t="shared" si="77"/>
        <v>3.2921202009103414</v>
      </c>
      <c r="AC55">
        <f t="shared" ref="AC55:AD55" si="78">(4*AC52/(PI()*20))^0.5*100/2.54</f>
        <v>8.0445515585429295</v>
      </c>
      <c r="AD55">
        <f t="shared" si="78"/>
        <v>9.8999459146354472</v>
      </c>
    </row>
    <row r="56" spans="1:39" x14ac:dyDescent="0.2">
      <c r="E56" t="s">
        <v>106</v>
      </c>
      <c r="T56">
        <f>(4*T53/(PI()*1))^0.5*100/2.54</f>
        <v>4.8254996819773233</v>
      </c>
      <c r="U56">
        <f>(4*U53/(PI()*1))^0.5*100/2.54</f>
        <v>4.8254996819773233</v>
      </c>
      <c r="V56">
        <f t="shared" ref="V56" si="79">(4*V53/(PI()*1))^0.5*100/2.54</f>
        <v>4.8254996819773233</v>
      </c>
      <c r="W56">
        <f t="shared" ref="W56:X56" si="80">(4*W53/(PI()*1))^0.5*100/2.54</f>
        <v>3.9825675702987522</v>
      </c>
      <c r="X56">
        <f t="shared" si="80"/>
        <v>2.7248124208407347</v>
      </c>
    </row>
    <row r="57" spans="1:39" x14ac:dyDescent="0.2">
      <c r="E57" t="s">
        <v>78</v>
      </c>
      <c r="F57">
        <f>(F55^2+F56^2)^0.5</f>
        <v>3.1227098602805832</v>
      </c>
      <c r="G57">
        <f>(G55^2+G56^2)^0.5</f>
        <v>3.1310307288331574</v>
      </c>
      <c r="H57">
        <f t="shared" ref="H57:K57" si="81">(H55^2+H56^2)^0.5</f>
        <v>3.0710175348870123</v>
      </c>
      <c r="I57">
        <f t="shared" si="81"/>
        <v>3.3721354892970754</v>
      </c>
      <c r="J57">
        <f t="shared" si="81"/>
        <v>4.4017597755727396</v>
      </c>
      <c r="K57">
        <f t="shared" si="81"/>
        <v>7.8038604693004219</v>
      </c>
      <c r="L57">
        <f>(L55^2+L56^2)^0.5</f>
        <v>9.3671610434830885</v>
      </c>
      <c r="M57">
        <f>(M55^2+M56^2)^0.5</f>
        <v>9.2932062477778707</v>
      </c>
      <c r="N57">
        <f>(N55^2+N56^2)^0.5</f>
        <v>9.4616277208620776</v>
      </c>
      <c r="O57">
        <f t="shared" ref="O57" si="82">(O55^2+O56^2)^0.5</f>
        <v>10.462240162054199</v>
      </c>
      <c r="P57">
        <f t="shared" ref="P57:U57" si="83">(P55^2+P56^2)^0.5</f>
        <v>10.558258579090282</v>
      </c>
      <c r="Q57">
        <f t="shared" si="83"/>
        <v>10.179224306300693</v>
      </c>
      <c r="R57">
        <f t="shared" si="83"/>
        <v>13.221387710929584</v>
      </c>
      <c r="S57">
        <f t="shared" si="83"/>
        <v>13.101902956143546</v>
      </c>
      <c r="T57">
        <f t="shared" si="83"/>
        <v>11.093817881823323</v>
      </c>
      <c r="U57">
        <f t="shared" si="83"/>
        <v>4.8254996819773233</v>
      </c>
      <c r="V57">
        <f t="shared" ref="V57:AB57" si="84">(V55^2+V56^2)^0.5</f>
        <v>4.8254996819773233</v>
      </c>
      <c r="W57">
        <f t="shared" si="84"/>
        <v>3.9825675702987522</v>
      </c>
      <c r="X57">
        <f t="shared" si="84"/>
        <v>2.7248124208407347</v>
      </c>
      <c r="Y57">
        <f t="shared" si="84"/>
        <v>8.9451693216994013</v>
      </c>
      <c r="Z57">
        <f t="shared" si="84"/>
        <v>4.5055609426688763</v>
      </c>
      <c r="AA57">
        <f t="shared" si="84"/>
        <v>2.7494521528511404</v>
      </c>
      <c r="AB57">
        <f t="shared" si="84"/>
        <v>3.2921202009103414</v>
      </c>
      <c r="AC57">
        <f t="shared" ref="AC57:AD57" si="85">(AC55^2+AC56^2)^0.5</f>
        <v>8.0445515585429295</v>
      </c>
      <c r="AD57">
        <f t="shared" si="85"/>
        <v>9.8999459146354472</v>
      </c>
    </row>
    <row r="58" spans="1:39" x14ac:dyDescent="0.2">
      <c r="E58" s="38" t="s">
        <v>109</v>
      </c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</row>
    <row r="59" spans="1:39" x14ac:dyDescent="0.2">
      <c r="E59" t="s">
        <v>110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1</v>
      </c>
      <c r="O59">
        <v>0</v>
      </c>
      <c r="P59">
        <v>0</v>
      </c>
      <c r="Q59">
        <v>0</v>
      </c>
      <c r="R59">
        <v>0</v>
      </c>
      <c r="S59">
        <v>0</v>
      </c>
      <c r="T59">
        <v>3.9370000000000002E-2</v>
      </c>
      <c r="U59">
        <f>1/25.4</f>
        <v>3.937007874015748E-2</v>
      </c>
      <c r="V59">
        <f t="shared" ref="V59:X59" si="86">1/25.4</f>
        <v>3.937007874015748E-2</v>
      </c>
      <c r="W59">
        <f t="shared" si="86"/>
        <v>3.937007874015748E-2</v>
      </c>
      <c r="X59">
        <f t="shared" si="86"/>
        <v>3.937007874015748E-2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F59" t="s">
        <v>111</v>
      </c>
      <c r="AG59">
        <v>975</v>
      </c>
      <c r="AH59" s="71" t="s">
        <v>201</v>
      </c>
      <c r="AI59" s="72" t="s">
        <v>327</v>
      </c>
    </row>
    <row r="60" spans="1:39" x14ac:dyDescent="0.2">
      <c r="E60" t="s">
        <v>150</v>
      </c>
      <c r="F60">
        <f t="shared" ref="F60:N60" si="87">F59+0+F16*1.1*F57/(2*$AG$59*$AG$60+F16*1.1*$AG$61)*(100/(100-$AG$62))</f>
        <v>0.35483573072511193</v>
      </c>
      <c r="G60">
        <f t="shared" si="87"/>
        <v>0.35396746141977542</v>
      </c>
      <c r="H60">
        <f t="shared" si="87"/>
        <v>0.41522450848034875</v>
      </c>
      <c r="I60">
        <f t="shared" si="87"/>
        <v>0.38122469630147876</v>
      </c>
      <c r="J60">
        <f t="shared" si="87"/>
        <v>0.23098060943020193</v>
      </c>
      <c r="K60">
        <f t="shared" si="87"/>
        <v>0.61122536966756069</v>
      </c>
      <c r="L60">
        <f t="shared" si="87"/>
        <v>0.51352366878028577</v>
      </c>
      <c r="M60">
        <f t="shared" si="87"/>
        <v>1.0458545639080423</v>
      </c>
      <c r="N60">
        <f t="shared" si="87"/>
        <v>2.0618337306199432</v>
      </c>
      <c r="O60">
        <f t="shared" ref="O60" si="88">O59+0+O16*1.1*O57/(2*$AG$59*$AG$60+O16*1.1*$AG$61)*(100/(100-$AG$62))</f>
        <v>1.1646687648867402</v>
      </c>
      <c r="P60">
        <f t="shared" ref="P60:U60" si="89">P59+0+P16*1.1*P57/(2*$AG$59*$AG$60+P16*1.1*$AG$61)*(100/(100-$AG$62))</f>
        <v>1.1656293841085845</v>
      </c>
      <c r="Q60">
        <f t="shared" si="89"/>
        <v>1.1047998753755071</v>
      </c>
      <c r="R60">
        <f t="shared" si="89"/>
        <v>0.86395742739204007</v>
      </c>
      <c r="S60">
        <f t="shared" si="89"/>
        <v>0.84766444839709432</v>
      </c>
      <c r="T60">
        <f t="shared" si="89"/>
        <v>0.75005706951880702</v>
      </c>
      <c r="U60">
        <f t="shared" si="89"/>
        <v>0.34518148779114516</v>
      </c>
      <c r="V60">
        <f t="shared" ref="V60:AD60" si="90">V59+0+V16*1.1*V57/(2*$AG$59*$AG$60+V16*1.1*$AG$61)*(100/(100-$AG$62))</f>
        <v>4.3209405427412972E-2</v>
      </c>
      <c r="W60">
        <f t="shared" si="90"/>
        <v>4.253874084028237E-2</v>
      </c>
      <c r="X60">
        <f t="shared" si="90"/>
        <v>4.1538019838351842E-2</v>
      </c>
      <c r="Y60">
        <f t="shared" si="90"/>
        <v>0.71069763529827523</v>
      </c>
      <c r="Z60">
        <f t="shared" si="90"/>
        <v>0.3528911317130945</v>
      </c>
      <c r="AA60">
        <f t="shared" si="90"/>
        <v>0.21199758215100964</v>
      </c>
      <c r="AB60">
        <f t="shared" si="90"/>
        <v>0.17850951915020424</v>
      </c>
      <c r="AC60">
        <f t="shared" si="90"/>
        <v>0.90944795501867248</v>
      </c>
      <c r="AD60">
        <f t="shared" si="90"/>
        <v>0.58755039182109858</v>
      </c>
      <c r="AF60" t="s">
        <v>112</v>
      </c>
      <c r="AG60">
        <v>1</v>
      </c>
      <c r="AH60" t="s">
        <v>159</v>
      </c>
    </row>
    <row r="61" spans="1:39" x14ac:dyDescent="0.2">
      <c r="C61">
        <f>_xlfn.XMATCH(D61,pipeschedule!E6:E33)</f>
        <v>13</v>
      </c>
      <c r="D61" s="39" t="s">
        <v>132</v>
      </c>
      <c r="E61" t="s">
        <v>153</v>
      </c>
      <c r="F61" t="s">
        <v>131</v>
      </c>
      <c r="G61" t="s">
        <v>135</v>
      </c>
      <c r="H61" t="s">
        <v>131</v>
      </c>
      <c r="I61" t="s">
        <v>131</v>
      </c>
      <c r="J61" t="s">
        <v>134</v>
      </c>
      <c r="K61" t="s">
        <v>141</v>
      </c>
      <c r="L61" t="s">
        <v>139</v>
      </c>
      <c r="M61" t="s">
        <v>140</v>
      </c>
      <c r="N61" t="s">
        <v>142</v>
      </c>
      <c r="O61" t="s">
        <v>142</v>
      </c>
      <c r="P61" t="s">
        <v>142</v>
      </c>
      <c r="Q61" t="s">
        <v>142</v>
      </c>
      <c r="R61" t="s">
        <v>143</v>
      </c>
      <c r="S61" t="s">
        <v>143</v>
      </c>
      <c r="T61" t="s">
        <v>141</v>
      </c>
      <c r="U61" t="s">
        <v>132</v>
      </c>
      <c r="V61" t="s">
        <v>133</v>
      </c>
      <c r="W61" t="s">
        <v>132</v>
      </c>
      <c r="X61" t="s">
        <v>129</v>
      </c>
      <c r="Y61" t="s">
        <v>139</v>
      </c>
      <c r="Z61" t="s">
        <v>134</v>
      </c>
      <c r="AA61" s="60" t="s">
        <v>135</v>
      </c>
      <c r="AB61" s="60" t="s">
        <v>131</v>
      </c>
      <c r="AC61" t="s">
        <v>139</v>
      </c>
      <c r="AD61" t="s">
        <v>141</v>
      </c>
      <c r="AF61" t="s">
        <v>113</v>
      </c>
      <c r="AG61">
        <v>0.4</v>
      </c>
    </row>
    <row r="62" spans="1:39" x14ac:dyDescent="0.2">
      <c r="C62">
        <f>_xlfn.XMATCH(D62,pipeschedule!G5:T5)</f>
        <v>13</v>
      </c>
      <c r="D62" s="39">
        <v>160</v>
      </c>
      <c r="E62" t="s">
        <v>154</v>
      </c>
      <c r="F62" t="s">
        <v>119</v>
      </c>
      <c r="G62" t="s">
        <v>119</v>
      </c>
      <c r="H62" t="s">
        <v>119</v>
      </c>
      <c r="I62" t="s">
        <v>119</v>
      </c>
      <c r="J62" t="s">
        <v>117</v>
      </c>
      <c r="K62">
        <v>160</v>
      </c>
      <c r="L62">
        <v>60</v>
      </c>
      <c r="M62" t="s">
        <v>152</v>
      </c>
      <c r="N62" t="s">
        <v>152</v>
      </c>
      <c r="O62">
        <v>140</v>
      </c>
      <c r="P62">
        <v>140</v>
      </c>
      <c r="Q62">
        <v>160</v>
      </c>
      <c r="R62">
        <v>100</v>
      </c>
      <c r="S62">
        <v>100</v>
      </c>
      <c r="T62">
        <v>100</v>
      </c>
      <c r="U62">
        <v>160</v>
      </c>
      <c r="V62" t="s">
        <v>117</v>
      </c>
      <c r="W62" t="s">
        <v>117</v>
      </c>
      <c r="X62" t="s">
        <v>117</v>
      </c>
      <c r="Y62">
        <v>100</v>
      </c>
      <c r="Z62">
        <v>80</v>
      </c>
      <c r="AA62" s="60">
        <v>160</v>
      </c>
      <c r="AB62" s="60" t="s">
        <v>117</v>
      </c>
      <c r="AC62">
        <v>140</v>
      </c>
      <c r="AD62">
        <v>60</v>
      </c>
      <c r="AF62" t="s">
        <v>114</v>
      </c>
      <c r="AG62">
        <v>12.5</v>
      </c>
    </row>
    <row r="63" spans="1:39" x14ac:dyDescent="0.2">
      <c r="D63" s="39">
        <f ca="1">OFFSET(pipeschedule!F5,Sheet1!C61,0)</f>
        <v>4.5</v>
      </c>
      <c r="E63" t="s">
        <v>155</v>
      </c>
      <c r="F63">
        <v>4</v>
      </c>
      <c r="G63">
        <v>6.625</v>
      </c>
      <c r="H63">
        <v>4</v>
      </c>
      <c r="I63">
        <v>4</v>
      </c>
      <c r="J63">
        <v>5.5629999999999997</v>
      </c>
      <c r="K63">
        <v>12.75</v>
      </c>
      <c r="L63">
        <v>10.75</v>
      </c>
      <c r="M63">
        <v>11.75</v>
      </c>
      <c r="N63">
        <v>14</v>
      </c>
      <c r="O63">
        <v>14</v>
      </c>
      <c r="P63">
        <v>14</v>
      </c>
      <c r="Q63">
        <v>14</v>
      </c>
      <c r="R63">
        <v>16</v>
      </c>
      <c r="S63">
        <v>16</v>
      </c>
      <c r="T63">
        <v>12.75</v>
      </c>
      <c r="U63">
        <v>4.5</v>
      </c>
      <c r="V63">
        <v>5</v>
      </c>
      <c r="W63">
        <v>4.5</v>
      </c>
      <c r="X63">
        <v>2.875</v>
      </c>
      <c r="Y63">
        <v>10.75</v>
      </c>
      <c r="Z63">
        <v>5.5629999999999997</v>
      </c>
      <c r="AA63" s="60">
        <v>6.625</v>
      </c>
      <c r="AB63" s="60">
        <v>4</v>
      </c>
      <c r="AC63">
        <v>10.75</v>
      </c>
      <c r="AD63">
        <v>12.75</v>
      </c>
    </row>
    <row r="64" spans="1:39" x14ac:dyDescent="0.2">
      <c r="D64" s="39">
        <f ca="1">OFFSET(pipeschedule!F5,Sheet1!C61,C62)</f>
        <v>0.53100000000000003</v>
      </c>
      <c r="E64" t="s">
        <v>156</v>
      </c>
      <c r="F64">
        <v>0.63600000000000001</v>
      </c>
      <c r="G64">
        <v>0.86399999999999999</v>
      </c>
      <c r="H64">
        <v>0.63600000000000001</v>
      </c>
      <c r="I64">
        <v>0.63600000000000001</v>
      </c>
      <c r="J64">
        <v>0.25800000000000001</v>
      </c>
      <c r="K64">
        <v>1.3120000000000001</v>
      </c>
      <c r="L64">
        <v>0.5</v>
      </c>
      <c r="M64">
        <v>0</v>
      </c>
      <c r="N64">
        <v>0</v>
      </c>
      <c r="O64">
        <v>1.25</v>
      </c>
      <c r="P64">
        <v>1.25</v>
      </c>
      <c r="Q64">
        <v>1.4059999999999999</v>
      </c>
      <c r="R64">
        <v>1.0309999999999999</v>
      </c>
      <c r="S64">
        <v>1.0309999999999999</v>
      </c>
      <c r="T64">
        <v>0.84399999999999997</v>
      </c>
      <c r="U64">
        <v>0.53100000000000003</v>
      </c>
      <c r="V64">
        <v>0.247</v>
      </c>
      <c r="W64">
        <v>0.23699999999999999</v>
      </c>
      <c r="X64">
        <v>0.20300000000000001</v>
      </c>
      <c r="Y64">
        <v>0.71899999999999997</v>
      </c>
      <c r="Z64">
        <v>0.375</v>
      </c>
      <c r="AA64" s="60">
        <v>0.71899999999999997</v>
      </c>
      <c r="AB64" s="60">
        <v>0.22600000000000001</v>
      </c>
      <c r="AC64">
        <v>1</v>
      </c>
      <c r="AD64">
        <v>0.56200000000000006</v>
      </c>
    </row>
    <row r="65" spans="5:30" x14ac:dyDescent="0.2">
      <c r="E65" t="s">
        <v>157</v>
      </c>
      <c r="F65">
        <f>F59+0+F16*1.1*F63/(2*$AG$59*$AG$60+F16*1.1*$AG$61)*(100/(100-$AG$62))</f>
        <v>0.45452282997976512</v>
      </c>
      <c r="G65">
        <f t="shared" ref="G65" si="91">G59+0+G16*1.1*G63/(2*$AG$59*$AG$60+G16*1.1*$AG$61)*(100/(100-$AG$62))</f>
        <v>0.74896563943335592</v>
      </c>
      <c r="H65">
        <f t="shared" ref="F65:N65" si="92">H59+0+H16*1.1*H63/(2*$AG$59*$AG$60+H16*1.1*$AG$61)*(100/(100-$AG$62))</f>
        <v>0.54082987643458758</v>
      </c>
      <c r="I65">
        <f t="shared" si="92"/>
        <v>0.45220566909183751</v>
      </c>
      <c r="J65">
        <f t="shared" si="92"/>
        <v>0.29191623254656629</v>
      </c>
      <c r="K65">
        <f t="shared" si="92"/>
        <v>0.99862414172046476</v>
      </c>
      <c r="L65">
        <f t="shared" si="92"/>
        <v>0.58933324768967255</v>
      </c>
      <c r="M65">
        <f t="shared" si="92"/>
        <v>1.3223413747927857</v>
      </c>
      <c r="N65">
        <f t="shared" si="92"/>
        <v>2.5711537874082353</v>
      </c>
      <c r="O65">
        <f t="shared" ref="O65" si="93">O59+0+O16*1.1*O63/(2*$AG$59*$AG$60+O16*1.1*$AG$61)*(100/(100-$AG$62))</f>
        <v>1.5584963120568343</v>
      </c>
      <c r="P65">
        <f t="shared" ref="P65:V65" si="94">P59+0+P16*1.1*P63/(2*$AG$59*$AG$60+P16*1.1*$AG$61)*(100/(100-$AG$62))</f>
        <v>1.5455968666876732</v>
      </c>
      <c r="Q65">
        <f t="shared" si="94"/>
        <v>1.5194869264923532</v>
      </c>
      <c r="R65">
        <f t="shared" si="94"/>
        <v>1.0455270763178257</v>
      </c>
      <c r="S65">
        <f t="shared" si="94"/>
        <v>1.0351649847928333</v>
      </c>
      <c r="T65">
        <f t="shared" si="94"/>
        <v>0.85615464825091636</v>
      </c>
      <c r="U65">
        <f t="shared" si="94"/>
        <v>0.32455325798047713</v>
      </c>
      <c r="V65">
        <f t="shared" si="94"/>
        <v>4.3348243635282155E-2</v>
      </c>
      <c r="W65">
        <f t="shared" ref="W65:AD65" si="95">W59+0+W16*1.1*W63/(2*$AG$59*$AG$60+W16*1.1*$AG$61)*(100/(100-$AG$62))</f>
        <v>4.2950427145769687E-2</v>
      </c>
      <c r="X65">
        <f t="shared" si="95"/>
        <v>4.1657513504340493E-2</v>
      </c>
      <c r="Y65">
        <f t="shared" si="95"/>
        <v>0.85409222617208247</v>
      </c>
      <c r="Z65">
        <f t="shared" si="95"/>
        <v>0.43571341963850557</v>
      </c>
      <c r="AA65" s="60">
        <f t="shared" si="95"/>
        <v>0.51082321265129504</v>
      </c>
      <c r="AB65" s="60">
        <f t="shared" si="95"/>
        <v>0.21689307589782725</v>
      </c>
      <c r="AC65">
        <f t="shared" si="95"/>
        <v>1.2153027356843136</v>
      </c>
      <c r="AD65">
        <f t="shared" si="95"/>
        <v>0.75669782040368472</v>
      </c>
    </row>
    <row r="66" spans="5:30" x14ac:dyDescent="0.2">
      <c r="E66" t="s">
        <v>158</v>
      </c>
      <c r="F66">
        <f>F64-F65</f>
        <v>0.18147717002023489</v>
      </c>
      <c r="G66">
        <f>G64-G65</f>
        <v>0.11503436056664407</v>
      </c>
      <c r="H66">
        <f t="shared" ref="H66:K66" si="96">H64-H65</f>
        <v>9.5170123565412434E-2</v>
      </c>
      <c r="I66">
        <f t="shared" si="96"/>
        <v>0.1837943309081625</v>
      </c>
      <c r="J66">
        <f t="shared" si="96"/>
        <v>-3.3916232546566283E-2</v>
      </c>
      <c r="K66">
        <f t="shared" si="96"/>
        <v>0.31337585827953529</v>
      </c>
      <c r="L66">
        <f>L64-L65</f>
        <v>-8.9333247689672546E-2</v>
      </c>
      <c r="M66">
        <f>M64-M65</f>
        <v>-1.3223413747927857</v>
      </c>
      <c r="N66">
        <f>N64-N65</f>
        <v>-2.5711537874082353</v>
      </c>
      <c r="O66">
        <f t="shared" ref="O66" si="97">O64-O65</f>
        <v>-0.30849631205683425</v>
      </c>
      <c r="P66">
        <f t="shared" ref="P66:U66" si="98">P64-P65</f>
        <v>-0.29559686668767315</v>
      </c>
      <c r="Q66">
        <f t="shared" si="98"/>
        <v>-0.11348692649235326</v>
      </c>
      <c r="R66">
        <f t="shared" si="98"/>
        <v>-1.4527076317825793E-2</v>
      </c>
      <c r="S66">
        <f t="shared" si="98"/>
        <v>-4.1649847928333372E-3</v>
      </c>
      <c r="T66">
        <f t="shared" si="98"/>
        <v>-1.2154648250916389E-2</v>
      </c>
      <c r="U66">
        <f t="shared" si="98"/>
        <v>0.2064467420195229</v>
      </c>
      <c r="V66">
        <f t="shared" ref="V66:AB66" si="99">V64-V65</f>
        <v>0.20365175636471783</v>
      </c>
      <c r="W66">
        <f t="shared" si="99"/>
        <v>0.1940495728542303</v>
      </c>
      <c r="X66">
        <f t="shared" si="99"/>
        <v>0.16134248649565952</v>
      </c>
      <c r="Y66">
        <f t="shared" si="99"/>
        <v>-0.1350922261720825</v>
      </c>
      <c r="Z66">
        <f t="shared" si="99"/>
        <v>-6.0713419638505572E-2</v>
      </c>
      <c r="AA66">
        <f t="shared" si="99"/>
        <v>0.20817678734870493</v>
      </c>
      <c r="AB66">
        <f t="shared" si="99"/>
        <v>9.1069241021727587E-3</v>
      </c>
      <c r="AC66">
        <f t="shared" ref="AC66:AD66" si="100">AC64-AC65</f>
        <v>-0.21530273568431357</v>
      </c>
      <c r="AD66">
        <f t="shared" si="100"/>
        <v>-0.19469782040368466</v>
      </c>
    </row>
    <row r="67" spans="5:30" x14ac:dyDescent="0.2">
      <c r="E67" s="38" t="s">
        <v>160</v>
      </c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</row>
    <row r="68" spans="5:30" x14ac:dyDescent="0.2">
      <c r="E68" t="s">
        <v>161</v>
      </c>
      <c r="G68">
        <f>0.2*G16</f>
        <v>36.516518310655847</v>
      </c>
      <c r="I68">
        <f>0.2*I16</f>
        <v>36.516518310655847</v>
      </c>
      <c r="K68">
        <f>0.3*K16</f>
        <v>37.474404849497247</v>
      </c>
      <c r="Q68">
        <f>0.4*Q16</f>
        <v>70</v>
      </c>
      <c r="U68">
        <f>U16-V16-U83</f>
        <v>98.999067821316032</v>
      </c>
      <c r="AA68">
        <f>0.3*AA16</f>
        <v>36.875446036870741</v>
      </c>
    </row>
    <row r="69" spans="5:30" x14ac:dyDescent="0.2">
      <c r="E69" t="s">
        <v>162</v>
      </c>
      <c r="G69">
        <f>(G24*0.00008314*(15+273))/1*1000*60</f>
        <v>741011.09051749494</v>
      </c>
      <c r="I69">
        <f>(I24*0.00008314*(15+273))/1*1000*60</f>
        <v>925140.9330991715</v>
      </c>
      <c r="K69">
        <f>(K24*0.00008314*(15+273))/1*1000*60</f>
        <v>4124402.1744590644</v>
      </c>
      <c r="Q69">
        <f>(Q24*0.00008314*(15+273))/1*1000*60</f>
        <v>6083142.1204075906</v>
      </c>
      <c r="U69">
        <f>U53*1000*60</f>
        <v>707.93461443734896</v>
      </c>
      <c r="AA69">
        <f>(AA24*0.00008314*(15+273))/1*1000*60</f>
        <v>503775.31832776585</v>
      </c>
    </row>
    <row r="70" spans="5:30" x14ac:dyDescent="0.2">
      <c r="E70" t="s">
        <v>163</v>
      </c>
      <c r="F70">
        <f t="shared" ref="F70:N70" si="101">(F18*$D$18+F19*$D$19+F20*$D$20+F21*$D$21+F22*$D$22+F23*$D$23)/F24</f>
        <v>36.159999999999997</v>
      </c>
      <c r="G70">
        <f t="shared" si="101"/>
        <v>36.159999999999997</v>
      </c>
      <c r="H70">
        <f t="shared" si="101"/>
        <v>2</v>
      </c>
      <c r="I70">
        <f t="shared" si="101"/>
        <v>2</v>
      </c>
      <c r="J70">
        <f t="shared" si="101"/>
        <v>12.028368266972064</v>
      </c>
      <c r="K70">
        <f t="shared" si="101"/>
        <v>17.884053936863598</v>
      </c>
      <c r="L70">
        <f t="shared" si="101"/>
        <v>17.884053936863598</v>
      </c>
      <c r="M70">
        <f t="shared" si="101"/>
        <v>16.945423593891672</v>
      </c>
      <c r="N70">
        <f t="shared" si="101"/>
        <v>16.945423593891672</v>
      </c>
      <c r="O70">
        <f t="shared" ref="O70" si="102">(O18*$D$18+O19*$D$19+O20*$D$20+O21*$D$21+O22*$D$22+O23*$D$23)/O24</f>
        <v>16.945423593891672</v>
      </c>
      <c r="P70">
        <f>(P18*$D$18+P19*$D$19+P20*$D$20+P21*$D$21+P22*$D$22+P23*$D$23)/P24</f>
        <v>16.945423593891672</v>
      </c>
      <c r="Q70">
        <f>(Q18*$D$18+Q19*$D$19+Q20*$D$20+Q21*$D$21+Q22*$D$22+Q23*$D$23)/Q24</f>
        <v>18.556740245329777</v>
      </c>
      <c r="R70">
        <f>(R18*$D$18+R19*$D$19+R20*$D$20+R21*$D$21+R22*$D$22+R23*$D$23)/R24</f>
        <v>18.556740245329777</v>
      </c>
      <c r="S70">
        <f>(S18*$D$18+S19*$D$19+S20*$D$20+S21*$D$21+S22*$D$22+S23*$D$23)/S24</f>
        <v>18.556740245329777</v>
      </c>
      <c r="T70">
        <f>(T18*$D$18+T19*$D$19+T20*$D$20+T21*$D$21+T22*$D$22+T23*$D$23)/T24</f>
        <v>17.884053936863598</v>
      </c>
      <c r="Y70">
        <f>(Y18*$D$18+Y19*$D$19+Y20*$D$20+Y21*$D$21+Y22*$D$22+Y23*$D$23)/Y24</f>
        <v>17.884053936863598</v>
      </c>
      <c r="Z70">
        <f>(Z18*$D$18+Z19*$D$19+Z20*$D$20+Z21*$D$21+Z22*$D$22+Z23*$D$23)/Z24</f>
        <v>17.884053936863598</v>
      </c>
      <c r="AA70">
        <f>(AA18*$D$18+AA19*$D$19+AA20*$D$20+AA21*$D$21+AA22*$D$22+AA23*$D$23)/AA24</f>
        <v>28.008509830885266</v>
      </c>
      <c r="AB70">
        <f>(AB18*$D$18+AB19*$D$19+AB20*$D$20+AB21*$D$21+AB22*$D$22+AB23*$D$23)/AB24</f>
        <v>28.008509830885266</v>
      </c>
      <c r="AC70">
        <f t="shared" ref="AC70:AD70" si="103">(AC18*$D$18+AC19*$D$19+AC20*$D$20+AC21*$D$21+AC22*$D$22+AC23*$D$23)/AC24</f>
        <v>16.863030028849057</v>
      </c>
      <c r="AD70">
        <f t="shared" si="103"/>
        <v>16.863030028849057</v>
      </c>
    </row>
    <row r="71" spans="5:30" x14ac:dyDescent="0.2">
      <c r="E71" t="s">
        <v>164</v>
      </c>
      <c r="F71">
        <f t="shared" ref="F71:N71" si="104">F70/28.96*F16/1*288/(F15+273)</f>
        <v>156.0460365693454</v>
      </c>
      <c r="G71">
        <f t="shared" si="104"/>
        <v>155.21773858155819</v>
      </c>
      <c r="H71">
        <f t="shared" si="104"/>
        <v>11.141308040038215</v>
      </c>
      <c r="I71">
        <f t="shared" si="104"/>
        <v>9.2403993869484662</v>
      </c>
      <c r="J71">
        <f t="shared" si="104"/>
        <v>30.707732316508427</v>
      </c>
      <c r="K71">
        <f t="shared" si="104"/>
        <v>68.781377375119817</v>
      </c>
      <c r="L71">
        <f t="shared" si="104"/>
        <v>47.739062524284982</v>
      </c>
      <c r="M71">
        <f t="shared" si="104"/>
        <v>74.226910056461577</v>
      </c>
      <c r="N71">
        <f t="shared" si="104"/>
        <v>71.607880769357664</v>
      </c>
      <c r="O71">
        <f t="shared" ref="O71" si="105">O70/28.96*O16/1*288/(O15+273)</f>
        <v>58.565676363946174</v>
      </c>
      <c r="P71">
        <f>P70/28.96*P16/1*288/(P15+273)</f>
        <v>57.505309535353348</v>
      </c>
      <c r="Q71">
        <f>Q70/28.96*Q16/1*288/(Q15+273)</f>
        <v>61.867585119693487</v>
      </c>
      <c r="R71">
        <f>R70/28.96*R16/1*288/(R15+273)</f>
        <v>36.672325576110232</v>
      </c>
      <c r="S71">
        <f>S70/28.96*S16/1*288/(S15+273)</f>
        <v>37.344253006598919</v>
      </c>
      <c r="T71">
        <f>T70/28.96*T16/1*288/(T15+273)</f>
        <v>55.969717616448179</v>
      </c>
      <c r="U71">
        <f>U78/1000</f>
        <v>0.85748544872663579</v>
      </c>
      <c r="Y71">
        <f>Y70/28.96*Y16/1*288/(Y15+273)</f>
        <v>69.799363969166052</v>
      </c>
      <c r="Z71">
        <f>Z70/28.96*Z16/1*288/(Z15+273)</f>
        <v>68.781377375119817</v>
      </c>
      <c r="AA71">
        <f>AA70/28.96*AA16/1*288/(AA15+273)</f>
        <v>105.99794326414722</v>
      </c>
      <c r="AB71">
        <f>AB70/28.96*AB16/1*288/(AB15+273)</f>
        <v>73.933012723269883</v>
      </c>
      <c r="AC71">
        <f t="shared" ref="AC71:AD71" si="106">AC70/28.96*AC16/1*288/(AC15+273)</f>
        <v>73.920940467915926</v>
      </c>
      <c r="AD71">
        <f t="shared" si="106"/>
        <v>48.809630350056707</v>
      </c>
    </row>
    <row r="72" spans="5:30" x14ac:dyDescent="0.2">
      <c r="E72" t="s">
        <v>165</v>
      </c>
      <c r="G72">
        <f>G69/(6950*G16*(1-2*G68/(3*G16))*(G68/(G16*G71*(G15+273)))^0.5)</f>
        <v>386.05955415644206</v>
      </c>
      <c r="I72">
        <f>I69/(6950*I16*(1-2*I68/(3*I16))*(I68/(I16*I71*(I15+273)))^0.5)</f>
        <v>113.35437339687368</v>
      </c>
      <c r="K72">
        <f>K69/(6950*K16*(1-2*K68/(3*K16))*(K68/(K16*K71*(K15+273)))^0.5)</f>
        <v>1616.0276753325015</v>
      </c>
      <c r="Q72">
        <f>Q69/(6950*Q16*(1-2*Q68/(3*Q16))*(Q68/(Q16*Q71*(Q15+273)))^0.5)</f>
        <v>1937.9408695129837</v>
      </c>
      <c r="U72">
        <f>U69/(14.42*(U68/U71)^0.5)</f>
        <v>4.5690479321633912</v>
      </c>
      <c r="AA72">
        <f>AA69/(6950*AA16*(1-2*AA68/(3*AA16))*(AA68/(AA16*AA71*(AA15+273)))^0.5)</f>
        <v>249.02068312330272</v>
      </c>
    </row>
    <row r="73" spans="5:30" x14ac:dyDescent="0.2">
      <c r="E73" t="s">
        <v>166</v>
      </c>
      <c r="G73">
        <f>G72/G63^2</f>
        <v>8.795945698117583</v>
      </c>
      <c r="I73">
        <f>I72/I63^2</f>
        <v>7.0846483373046052</v>
      </c>
      <c r="K73">
        <f>K72/K63^2</f>
        <v>9.9409622473356496</v>
      </c>
      <c r="Q73">
        <f>Q72/Q63^2</f>
        <v>9.88745341588257</v>
      </c>
      <c r="U73">
        <f>U72/U63^2</f>
        <v>0.22563199665004402</v>
      </c>
      <c r="AA73">
        <f>AA72/AA63^2</f>
        <v>5.6736645496231306</v>
      </c>
    </row>
    <row r="74" spans="5:30" x14ac:dyDescent="0.2">
      <c r="E74" s="38" t="s">
        <v>167</v>
      </c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</row>
    <row r="75" spans="5:30" x14ac:dyDescent="0.2">
      <c r="E75" t="s">
        <v>168</v>
      </c>
      <c r="F75">
        <f>(F63-2*F64)*2.54/100</f>
        <v>6.9291199999999997E-2</v>
      </c>
      <c r="G75">
        <f>(G63-2*G64)*2.54/100</f>
        <v>0.1243838</v>
      </c>
      <c r="H75">
        <f t="shared" ref="H75" si="107">(H63-2*H64)*2.54/100</f>
        <v>6.9291199999999997E-2</v>
      </c>
      <c r="I75">
        <f t="shared" ref="I75:K75" si="108">(I63-2*I64)*2.54/100</f>
        <v>6.9291199999999997E-2</v>
      </c>
      <c r="J75">
        <f t="shared" si="108"/>
        <v>0.1281938</v>
      </c>
      <c r="K75">
        <f t="shared" si="108"/>
        <v>0.2572004</v>
      </c>
      <c r="L75">
        <f>(L63-2*L64)*2.54/100</f>
        <v>0.24765000000000001</v>
      </c>
      <c r="M75">
        <f>(M63-2*M64)*2.54/100</f>
        <v>0.29844999999999999</v>
      </c>
      <c r="N75">
        <f>(N63-2*N64)*2.54/100</f>
        <v>0.35560000000000003</v>
      </c>
      <c r="O75">
        <f t="shared" ref="O75" si="109">(O63-2*O64)*2.54/100</f>
        <v>0.29210000000000003</v>
      </c>
      <c r="P75">
        <f t="shared" ref="P75:V75" si="110">(P63-2*P64)*2.54/100</f>
        <v>0.29210000000000003</v>
      </c>
      <c r="Q75">
        <f t="shared" si="110"/>
        <v>0.28417520000000002</v>
      </c>
      <c r="R75">
        <f t="shared" si="110"/>
        <v>0.35402520000000004</v>
      </c>
      <c r="S75">
        <f t="shared" si="110"/>
        <v>0.35402520000000004</v>
      </c>
      <c r="T75">
        <f t="shared" si="110"/>
        <v>0.28097479999999997</v>
      </c>
      <c r="U75">
        <f t="shared" si="110"/>
        <v>8.7325199999999992E-2</v>
      </c>
      <c r="V75">
        <f t="shared" si="110"/>
        <v>0.1144524</v>
      </c>
      <c r="W75">
        <f t="shared" ref="W75:AB75" si="111">(W63-2*W64)*2.54/100</f>
        <v>0.10226039999999999</v>
      </c>
      <c r="X75">
        <f t="shared" si="111"/>
        <v>6.2712599999999993E-2</v>
      </c>
      <c r="Y75">
        <f t="shared" si="111"/>
        <v>0.23652479999999998</v>
      </c>
      <c r="Z75">
        <f t="shared" si="111"/>
        <v>0.12225019999999999</v>
      </c>
      <c r="AA75">
        <f t="shared" si="111"/>
        <v>0.13174980000000003</v>
      </c>
      <c r="AB75">
        <f t="shared" si="111"/>
        <v>9.0119199999999997E-2</v>
      </c>
      <c r="AC75">
        <f t="shared" ref="AC75:AD75" si="112">(AC63-2*AC64)*2.54/100</f>
        <v>0.22225</v>
      </c>
      <c r="AD75">
        <f t="shared" si="112"/>
        <v>0.29530040000000002</v>
      </c>
    </row>
    <row r="76" spans="5:30" x14ac:dyDescent="0.2">
      <c r="E76" t="s">
        <v>169</v>
      </c>
      <c r="F76">
        <v>10</v>
      </c>
      <c r="G76">
        <v>10</v>
      </c>
      <c r="H76">
        <v>10</v>
      </c>
      <c r="I76">
        <v>10</v>
      </c>
      <c r="J76">
        <v>10</v>
      </c>
      <c r="K76">
        <v>10</v>
      </c>
      <c r="L76">
        <v>10</v>
      </c>
      <c r="M76">
        <v>10</v>
      </c>
      <c r="N76">
        <v>24</v>
      </c>
      <c r="O76">
        <v>24</v>
      </c>
      <c r="P76">
        <v>24</v>
      </c>
      <c r="Q76">
        <v>10</v>
      </c>
      <c r="R76">
        <v>24</v>
      </c>
      <c r="S76">
        <v>24</v>
      </c>
      <c r="T76">
        <v>10</v>
      </c>
      <c r="U76">
        <v>10</v>
      </c>
      <c r="V76">
        <v>10</v>
      </c>
      <c r="W76">
        <v>10</v>
      </c>
      <c r="X76">
        <v>10</v>
      </c>
      <c r="Y76">
        <v>10</v>
      </c>
      <c r="Z76">
        <v>10</v>
      </c>
      <c r="AA76">
        <v>10</v>
      </c>
      <c r="AB76">
        <v>10</v>
      </c>
      <c r="AC76">
        <v>11</v>
      </c>
      <c r="AD76">
        <v>12</v>
      </c>
    </row>
    <row r="77" spans="5:30" x14ac:dyDescent="0.2">
      <c r="E77" t="s">
        <v>170</v>
      </c>
      <c r="F77">
        <f>F52/(PI()*F75^2/4)</f>
        <v>26.206229068736448</v>
      </c>
      <c r="G77">
        <f>G52/(PI()*G75^2/4)</f>
        <v>8.1760671089691606</v>
      </c>
      <c r="H77">
        <f t="shared" ref="H77" si="113">H52/(PI()*H75^2/4)</f>
        <v>25.345791389993586</v>
      </c>
      <c r="I77">
        <f t="shared" ref="I77:K77" si="114">I52/(PI()*I75^2/4)</f>
        <v>30.559855431500061</v>
      </c>
      <c r="J77">
        <f t="shared" si="114"/>
        <v>15.213041885648925</v>
      </c>
      <c r="K77">
        <f t="shared" si="114"/>
        <v>11.878815610705816</v>
      </c>
      <c r="L77">
        <f>L52/(PI()*L75^2/4)</f>
        <v>18.460214283139443</v>
      </c>
      <c r="M77">
        <f>M52/(PI()*M75^2/4)</f>
        <v>12.510809577363535</v>
      </c>
      <c r="N77">
        <f>N52/(PI()*N75^2/4)</f>
        <v>9.1349386865495585</v>
      </c>
      <c r="O77">
        <f t="shared" ref="O77" si="115">O52/(PI()*O75^2/4)</f>
        <v>16.55326566480149</v>
      </c>
      <c r="P77">
        <f>P52/(PI()*P75^2/4)</f>
        <v>16.85849893730564</v>
      </c>
      <c r="Q77">
        <f>Q52/(PI()*Q75^2/4)</f>
        <v>16.555963076977555</v>
      </c>
      <c r="R77">
        <f>R52/(PI()*R75^2/4)</f>
        <v>17.996297215582402</v>
      </c>
      <c r="S77">
        <f>S52/(PI()*S75^2/4)</f>
        <v>17.672493557112105</v>
      </c>
      <c r="T77">
        <f>T52/(PI()*T75^2/4)</f>
        <v>16.309406908288707</v>
      </c>
      <c r="U77">
        <f>U53/(PI()*U75^2/4)</f>
        <v>1.97002999200017</v>
      </c>
      <c r="V77">
        <f t="shared" ref="V77" si="116">V53/(PI()*V75^2/4)</f>
        <v>1.1468383517820424</v>
      </c>
      <c r="W77">
        <f t="shared" ref="W77:X77" si="117">W53/(PI()*W75^2/4)</f>
        <v>0.97854040959269639</v>
      </c>
      <c r="X77">
        <f t="shared" si="117"/>
        <v>1.217954433889578</v>
      </c>
      <c r="Y77">
        <f>Y52/(PI()*Y75^2/4)</f>
        <v>18.455303532953856</v>
      </c>
      <c r="Z77">
        <f>Z52/(PI()*Z75^2/4)</f>
        <v>17.526532764281502</v>
      </c>
      <c r="AA77">
        <f>AA52/(PI()*AA75^2/4)</f>
        <v>5.6193985139457094</v>
      </c>
      <c r="AB77">
        <f>AB52/(PI()*AB75^2/4)</f>
        <v>17.219246400852644</v>
      </c>
      <c r="AC77">
        <f t="shared" ref="AC77:AD77" si="118">AC52/(PI()*AC75^2/4)</f>
        <v>16.905093166512454</v>
      </c>
      <c r="AD77">
        <f t="shared" si="118"/>
        <v>14.50223713808075</v>
      </c>
    </row>
    <row r="78" spans="5:30" x14ac:dyDescent="0.2">
      <c r="E78" t="s">
        <v>171</v>
      </c>
      <c r="F78">
        <f>F24*F70*0.001/F52</f>
        <v>188.73341231023656</v>
      </c>
      <c r="G78">
        <f>G24*G70*0.001/G52</f>
        <v>187.73160855359117</v>
      </c>
      <c r="H78">
        <f t="shared" ref="H78" si="119">H24*H70*0.001/H52</f>
        <v>13.475107283878042</v>
      </c>
      <c r="I78">
        <f t="shared" ref="I78:K78" si="120">I24*I70*0.001/I52</f>
        <v>11.176010270745946</v>
      </c>
      <c r="J78">
        <f t="shared" si="120"/>
        <v>37.140162171491369</v>
      </c>
      <c r="K78">
        <f t="shared" si="120"/>
        <v>83.189194296746365</v>
      </c>
      <c r="L78">
        <f>L24*L70*0.001/L52</f>
        <v>57.739090135083956</v>
      </c>
      <c r="M78">
        <f>M24*M70*0.001/M52</f>
        <v>89.775417102474705</v>
      </c>
      <c r="N78">
        <f>N24*N70*0.001/N52</f>
        <v>86.607772827985855</v>
      </c>
      <c r="O78">
        <f t="shared" ref="O78" si="121">O24*O70*0.001/O52</f>
        <v>70.833583392632619</v>
      </c>
      <c r="P78">
        <f>P24*P70*0.001/P52</f>
        <v>69.551098721694032</v>
      </c>
      <c r="Q78">
        <f>Q24*Q70*0.001/Q52</f>
        <v>74.827151703047889</v>
      </c>
      <c r="R78">
        <f>R24*R70*0.001/R52</f>
        <v>44.354174546788229</v>
      </c>
      <c r="S78">
        <f>S24*S70*0.001/S52</f>
        <v>45.166852392179223</v>
      </c>
      <c r="T78">
        <f>T24*T70*0.001/T52</f>
        <v>67.693842304660976</v>
      </c>
      <c r="U78">
        <f>(U28*32+U30*18)*0.001/U53</f>
        <v>857.48544872663581</v>
      </c>
      <c r="V78">
        <f t="shared" ref="V78" si="122">(V28*32+V30*18)*0.001/V53</f>
        <v>857.48544872663581</v>
      </c>
      <c r="W78">
        <f t="shared" ref="W78:X78" si="123">(W28*32+W30*18)*0.001/W53</f>
        <v>792.93180686908931</v>
      </c>
      <c r="X78">
        <f t="shared" si="123"/>
        <v>995.38848673635664</v>
      </c>
      <c r="Y78">
        <f>Y24*Y70*0.001/Y52</f>
        <v>84.420421233388524</v>
      </c>
      <c r="Z78">
        <f>Z24*Z70*0.001/Z52</f>
        <v>83.189194296746379</v>
      </c>
      <c r="AA78">
        <f>AA24*AA70*0.001/AA52</f>
        <v>128.20161261333396</v>
      </c>
      <c r="AB78">
        <f>AB24*AB70*0.001/AB52</f>
        <v>89.419956318070263</v>
      </c>
      <c r="AC78">
        <f t="shared" ref="AC78:AD78" si="124">AC24*AC70*0.001/AC52</f>
        <v>89.405355255477943</v>
      </c>
      <c r="AD78">
        <f t="shared" si="124"/>
        <v>59.033912633043755</v>
      </c>
    </row>
    <row r="79" spans="5:30" x14ac:dyDescent="0.2">
      <c r="E79" t="s">
        <v>174</v>
      </c>
      <c r="F79">
        <v>8</v>
      </c>
      <c r="G79">
        <v>8</v>
      </c>
      <c r="H79">
        <v>8</v>
      </c>
      <c r="I79">
        <v>8</v>
      </c>
      <c r="J79">
        <v>8</v>
      </c>
      <c r="K79">
        <v>8</v>
      </c>
      <c r="L79">
        <v>8</v>
      </c>
      <c r="M79">
        <v>8</v>
      </c>
      <c r="N79">
        <v>8</v>
      </c>
      <c r="O79">
        <v>8</v>
      </c>
      <c r="P79">
        <v>8</v>
      </c>
      <c r="Q79">
        <v>8</v>
      </c>
      <c r="R79">
        <v>8</v>
      </c>
      <c r="S79">
        <v>8</v>
      </c>
      <c r="T79">
        <v>8</v>
      </c>
      <c r="U79">
        <v>8</v>
      </c>
      <c r="V79">
        <v>8</v>
      </c>
      <c r="W79">
        <v>8</v>
      </c>
      <c r="X79">
        <v>8</v>
      </c>
      <c r="Y79">
        <v>8</v>
      </c>
      <c r="Z79">
        <v>8</v>
      </c>
      <c r="AA79">
        <v>8</v>
      </c>
      <c r="AB79">
        <v>8</v>
      </c>
      <c r="AC79">
        <v>8</v>
      </c>
      <c r="AD79">
        <v>8</v>
      </c>
    </row>
    <row r="80" spans="5:30" x14ac:dyDescent="0.2">
      <c r="E80" t="s">
        <v>172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</row>
    <row r="81" spans="5:30" x14ac:dyDescent="0.2">
      <c r="E81" t="s">
        <v>173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</row>
    <row r="82" spans="5:30" x14ac:dyDescent="0.2">
      <c r="E82" t="s">
        <v>175</v>
      </c>
      <c r="F82">
        <f>0.07*F76/F75+F79*0.3+F80*2+F81*5.5</f>
        <v>20.002292931858591</v>
      </c>
      <c r="G82">
        <f>0.07*G76/G75+G79*0.3+G80*2+G81*5.5</f>
        <v>15.527742519524248</v>
      </c>
      <c r="H82">
        <f t="shared" ref="H82:K82" si="125">0.07*H76/H75+H79*0.3+H80*2+H81*5.5</f>
        <v>20.002292931858591</v>
      </c>
      <c r="I82">
        <f t="shared" si="125"/>
        <v>20.002292931858591</v>
      </c>
      <c r="J82">
        <f t="shared" si="125"/>
        <v>15.360482488232661</v>
      </c>
      <c r="K82">
        <f t="shared" si="125"/>
        <v>12.621613185671562</v>
      </c>
      <c r="L82">
        <f>0.07*L76/L75+L79*0.3+L80*2+L81*5.5</f>
        <v>12.726569755703615</v>
      </c>
      <c r="M82">
        <f>0.07*M76/M75+M79*0.3+M80*2+M81*5.5</f>
        <v>12.245451499413637</v>
      </c>
      <c r="N82">
        <f>0.07*N76/N75+N79*0.3+N80*2+N81*5.5</f>
        <v>14.624409448818898</v>
      </c>
      <c r="O82">
        <f t="shared" ref="O82" si="126">0.07*O76/O75+O79*0.3+O80*2+O81*5.5</f>
        <v>15.651454981170831</v>
      </c>
      <c r="P82">
        <f t="shared" ref="P82:U82" si="127">0.07*P76/P75+P79*0.3+P80*2+P81*5.5</f>
        <v>15.651454981170831</v>
      </c>
      <c r="Q82">
        <f t="shared" si="127"/>
        <v>12.363269138193621</v>
      </c>
      <c r="R82">
        <f t="shared" si="127"/>
        <v>14.645424901956131</v>
      </c>
      <c r="S82">
        <f t="shared" si="127"/>
        <v>14.645424901956131</v>
      </c>
      <c r="T82">
        <f t="shared" si="127"/>
        <v>12.391326624309368</v>
      </c>
      <c r="U82">
        <f t="shared" si="127"/>
        <v>17.91601370509315</v>
      </c>
      <c r="V82">
        <f t="shared" ref="V82:AB82" si="128">0.07*V76/V75+V79*0.3+V80*2+V81*5.5</f>
        <v>16.016079697760816</v>
      </c>
      <c r="W82">
        <f t="shared" si="128"/>
        <v>16.745269527598172</v>
      </c>
      <c r="X82">
        <f t="shared" si="128"/>
        <v>21.062031234552549</v>
      </c>
      <c r="Y82">
        <f t="shared" si="128"/>
        <v>12.859520523852044</v>
      </c>
      <c r="Z82">
        <f t="shared" si="128"/>
        <v>15.625962002516152</v>
      </c>
      <c r="AA82">
        <f t="shared" si="128"/>
        <v>15.213101044555664</v>
      </c>
      <c r="AB82">
        <f t="shared" si="128"/>
        <v>17.66749016857673</v>
      </c>
      <c r="AC82">
        <f t="shared" ref="AC82:AD82" si="129">0.07*AC76/AC75+AC79*0.3+AC80*2+AC81*5.5</f>
        <v>13.364566929133858</v>
      </c>
      <c r="AD82">
        <f t="shared" si="129"/>
        <v>12.744560996192352</v>
      </c>
    </row>
    <row r="83" spans="5:30" x14ac:dyDescent="0.2">
      <c r="E83" t="s">
        <v>176</v>
      </c>
      <c r="F83">
        <f>F82*F77^2/2*F78*0.00001</f>
        <v>12.963063406628867</v>
      </c>
      <c r="G83">
        <f>G82*G77^2/2*G78*0.00001</f>
        <v>0.97432673978239481</v>
      </c>
      <c r="H83">
        <f t="shared" ref="H83:K83" si="130">H82*H77^2/2*H78*0.00001</f>
        <v>0.86575245395243927</v>
      </c>
      <c r="I83">
        <f t="shared" si="130"/>
        <v>1.0438525838533563</v>
      </c>
      <c r="J83">
        <f t="shared" si="130"/>
        <v>0.66016239157286782</v>
      </c>
      <c r="K83">
        <f t="shared" si="130"/>
        <v>0.74079504829820175</v>
      </c>
      <c r="L83">
        <f>L82*L77^2/2*L78*0.00001</f>
        <v>1.2520589539344074</v>
      </c>
      <c r="M83">
        <f>M82*M77^2/2*M78*0.00001</f>
        <v>0.86034584616751697</v>
      </c>
      <c r="N83">
        <f>N82*N77^2/2*N78*0.00001</f>
        <v>0.52846531235275229</v>
      </c>
      <c r="O83">
        <f t="shared" ref="O83" si="131">O82*O77^2/2*O78*0.00001</f>
        <v>1.518907420516511</v>
      </c>
      <c r="P83">
        <f t="shared" ref="P83:U83" si="132">P82*P77^2/2*P78*0.00001</f>
        <v>1.5469152524442571</v>
      </c>
      <c r="Q83">
        <f t="shared" si="132"/>
        <v>1.2678604085931371</v>
      </c>
      <c r="R83">
        <f t="shared" si="132"/>
        <v>1.0518959813735247</v>
      </c>
      <c r="S83">
        <f t="shared" si="132"/>
        <v>1.0329694342611537</v>
      </c>
      <c r="T83">
        <f t="shared" si="132"/>
        <v>1.115612343650934</v>
      </c>
      <c r="U83">
        <f t="shared" si="132"/>
        <v>0.29811499765615868</v>
      </c>
      <c r="V83">
        <f t="shared" ref="V83:AB83" si="133">V82*V77^2/2*V78*0.00001</f>
        <v>9.0314483024377959E-2</v>
      </c>
      <c r="W83">
        <f t="shared" si="133"/>
        <v>6.3570483622194127E-2</v>
      </c>
      <c r="X83">
        <f t="shared" si="133"/>
        <v>0.15549805154059029</v>
      </c>
      <c r="Y83">
        <f t="shared" si="133"/>
        <v>1.8487776397476554</v>
      </c>
      <c r="Z83">
        <f t="shared" si="133"/>
        <v>1.9965293754216829</v>
      </c>
      <c r="AA83">
        <f t="shared" si="133"/>
        <v>0.30793631390956905</v>
      </c>
      <c r="AB83">
        <f t="shared" si="133"/>
        <v>2.3421116663201982</v>
      </c>
      <c r="AC83">
        <f t="shared" ref="AC83:AD83" si="134">AC82*AC77^2/2*AC78*0.00001</f>
        <v>1.7073539551292711</v>
      </c>
      <c r="AD83">
        <f t="shared" si="134"/>
        <v>0.79116389060479797</v>
      </c>
    </row>
  </sheetData>
  <phoneticPr fontId="1" type="noConversion"/>
  <conditionalFormatting sqref="E68:E83 E66:AD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4" r:id="rId1" xr:uid="{08B33EED-7686-F042-85F2-90838AE1B6C0}"/>
    <hyperlink ref="B14" r:id="rId2" xr:uid="{68914404-28D4-0D43-9B0F-3B4BC327B07A}"/>
  </hyperlinks>
  <pageMargins left="0.7" right="0.7" top="0.75" bottom="0.75" header="0.3" footer="0.3"/>
  <pageSetup orientation="portrait" horizontalDpi="1200" verticalDpi="1200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5F8D172D-087C-AC4D-BC5A-51664646B565}">
          <x14:formula1>
            <xm:f>pipeschedule!$E$6:$E$33</xm:f>
          </x14:formula1>
          <xm:sqref>D61</xm:sqref>
        </x14:dataValidation>
        <x14:dataValidation type="list" allowBlank="1" showInputMessage="1" showErrorMessage="1" xr:uid="{D682B448-D7DE-9347-8D18-767DACD70156}">
          <x14:formula1>
            <xm:f>pipeschedule!$G$5:$T$5</xm:f>
          </x14:formula1>
          <xm:sqref>D62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A856F-EB26-354D-8182-ED219FF31802}">
  <sheetPr codeName="Sheet2"/>
  <dimension ref="B4:AS315"/>
  <sheetViews>
    <sheetView topLeftCell="AA1" zoomScale="113" workbookViewId="0">
      <pane ySplit="1520" activePane="bottomLeft"/>
      <selection pane="bottomLeft" activeCell="AR9" sqref="AR9"/>
    </sheetView>
  </sheetViews>
  <sheetFormatPr baseColWidth="10" defaultColWidth="8.83203125" defaultRowHeight="15" x14ac:dyDescent="0.2"/>
  <cols>
    <col min="6" max="6" width="12.1640625" bestFit="1" customWidth="1"/>
    <col min="7" max="7" width="9" bestFit="1" customWidth="1"/>
    <col min="8" max="9" width="12.1640625" bestFit="1" customWidth="1"/>
    <col min="10" max="18" width="9" bestFit="1" customWidth="1"/>
    <col min="19" max="19" width="9.1640625" bestFit="1" customWidth="1"/>
    <col min="20" max="20" width="11.33203125" bestFit="1" customWidth="1"/>
    <col min="21" max="27" width="9" bestFit="1" customWidth="1"/>
    <col min="29" max="29" width="9" bestFit="1" customWidth="1"/>
    <col min="31" max="31" width="11.33203125" bestFit="1" customWidth="1"/>
    <col min="44" max="44" width="11.83203125" bestFit="1" customWidth="1"/>
  </cols>
  <sheetData>
    <row r="4" spans="2:45" x14ac:dyDescent="0.2">
      <c r="I4" t="s">
        <v>53</v>
      </c>
    </row>
    <row r="5" spans="2:45" x14ac:dyDescent="0.2">
      <c r="I5" t="s">
        <v>54</v>
      </c>
    </row>
    <row r="6" spans="2:45" x14ac:dyDescent="0.2">
      <c r="I6" t="s">
        <v>55</v>
      </c>
    </row>
    <row r="7" spans="2:45" x14ac:dyDescent="0.2">
      <c r="C7" s="20" t="s">
        <v>56</v>
      </c>
      <c r="D7" s="20" t="s">
        <v>57</v>
      </c>
      <c r="E7" s="20" t="s">
        <v>58</v>
      </c>
      <c r="F7" s="20" t="s">
        <v>59</v>
      </c>
      <c r="G7" s="20" t="s">
        <v>60</v>
      </c>
      <c r="H7" s="20" t="s">
        <v>34</v>
      </c>
      <c r="I7" s="20" t="s">
        <v>35</v>
      </c>
      <c r="J7" s="20" t="s">
        <v>36</v>
      </c>
      <c r="K7" s="20" t="s">
        <v>37</v>
      </c>
      <c r="L7" s="20" t="s">
        <v>38</v>
      </c>
      <c r="M7" s="20" t="s">
        <v>39</v>
      </c>
      <c r="N7" s="20" t="s">
        <v>40</v>
      </c>
      <c r="O7" s="20" t="s">
        <v>41</v>
      </c>
      <c r="P7" s="20" t="s">
        <v>42</v>
      </c>
      <c r="Q7" s="20" t="s">
        <v>43</v>
      </c>
      <c r="R7" s="20" t="s">
        <v>44</v>
      </c>
      <c r="S7" s="20" t="s">
        <v>45</v>
      </c>
      <c r="T7" s="20" t="s">
        <v>46</v>
      </c>
      <c r="U7" s="20" t="s">
        <v>47</v>
      </c>
      <c r="AQ7" t="s">
        <v>180</v>
      </c>
      <c r="AR7">
        <f>C8</f>
        <v>94633.513101568271</v>
      </c>
      <c r="AS7" t="s">
        <v>181</v>
      </c>
    </row>
    <row r="8" spans="2:45" x14ac:dyDescent="0.2">
      <c r="C8" s="59">
        <f>D315</f>
        <v>94633.513101568271</v>
      </c>
      <c r="D8" s="59">
        <f>((H15-H315)/H15)*100</f>
        <v>35.469618297500311</v>
      </c>
      <c r="E8" s="59">
        <f>(J315-J15)/(H15-H315)*100</f>
        <v>97.410233884835307</v>
      </c>
      <c r="F8" s="59">
        <f>Sheet1!C8</f>
        <v>249</v>
      </c>
      <c r="G8" s="59">
        <f>Sheet1!D8</f>
        <v>175</v>
      </c>
      <c r="H8" s="10">
        <v>2.5585858869056372E-11</v>
      </c>
      <c r="I8" s="11">
        <v>58705.137372000005</v>
      </c>
      <c r="J8" s="10">
        <v>9.3540567414755159E-3</v>
      </c>
      <c r="K8" s="10">
        <v>39692.025365999994</v>
      </c>
      <c r="L8" s="10">
        <v>3.1491705605074456</v>
      </c>
      <c r="M8" s="10">
        <v>35228.159999999996</v>
      </c>
      <c r="N8" s="10">
        <v>3453.38</v>
      </c>
      <c r="O8" s="10">
        <v>0</v>
      </c>
      <c r="P8" s="10">
        <v>0.499</v>
      </c>
      <c r="Q8" s="10">
        <v>17197</v>
      </c>
      <c r="R8" s="10">
        <v>6.6200000000000001E-11</v>
      </c>
      <c r="S8" s="10">
        <v>124119</v>
      </c>
      <c r="T8" s="12">
        <v>1277269179.7294657</v>
      </c>
      <c r="U8" s="10">
        <v>-87498.12000000001</v>
      </c>
      <c r="AQ8" t="s">
        <v>186</v>
      </c>
      <c r="AR8">
        <v>1200</v>
      </c>
      <c r="AS8" t="s">
        <v>184</v>
      </c>
    </row>
    <row r="9" spans="2:45" x14ac:dyDescent="0.2">
      <c r="H9" s="20" t="s">
        <v>61</v>
      </c>
      <c r="I9" s="6">
        <f>H8*EXP(I8/((8.314)*($F$8+273)))</f>
        <v>1.9169976763439979E-5</v>
      </c>
      <c r="J9" s="20" t="s">
        <v>62</v>
      </c>
      <c r="K9" s="6">
        <f>J8*EXP(K8/((8.314)*($F$8+273)))</f>
        <v>87.696034823367526</v>
      </c>
      <c r="L9" s="20" t="s">
        <v>49</v>
      </c>
      <c r="M9" s="6">
        <f>L8*EXP(M8/((8.314)*($F$8+273)))</f>
        <v>10555.462026763411</v>
      </c>
      <c r="N9" s="20" t="s">
        <v>50</v>
      </c>
      <c r="O9" s="6">
        <f>N8*EXP(O8/((8.314)*($F$8+273)))</f>
        <v>3453.38</v>
      </c>
      <c r="P9" s="20" t="s">
        <v>51</v>
      </c>
      <c r="Q9" s="6">
        <f>P8*EXP(Q8/((8.314)*($F$8+273)))</f>
        <v>26.24242067980963</v>
      </c>
      <c r="R9" s="20" t="s">
        <v>52</v>
      </c>
      <c r="S9" s="6">
        <f>R8*EXP(S8/((8.314)*($F$8+273)))</f>
        <v>174.35850079330484</v>
      </c>
      <c r="T9" s="20" t="s">
        <v>48</v>
      </c>
      <c r="U9" s="6">
        <f>T8*EXP(U8/((8.314)*($F$8+273)))</f>
        <v>2.2405147925433391</v>
      </c>
      <c r="AC9" t="s">
        <v>63</v>
      </c>
      <c r="AQ9" t="s">
        <v>182</v>
      </c>
      <c r="AR9">
        <f>AR7/AR8</f>
        <v>78.861260917973553</v>
      </c>
      <c r="AS9" t="s">
        <v>183</v>
      </c>
    </row>
    <row r="10" spans="2:45" x14ac:dyDescent="0.2">
      <c r="AQ10" t="s">
        <v>185</v>
      </c>
      <c r="AR10">
        <v>2800</v>
      </c>
      <c r="AS10" t="s">
        <v>184</v>
      </c>
    </row>
    <row r="11" spans="2:45" x14ac:dyDescent="0.2">
      <c r="AE11" t="s">
        <v>64</v>
      </c>
      <c r="AQ11" t="s">
        <v>187</v>
      </c>
      <c r="AR11">
        <f>1-AR8/AR10</f>
        <v>0.5714285714285714</v>
      </c>
    </row>
    <row r="12" spans="2:45" x14ac:dyDescent="0.2">
      <c r="H12" s="1"/>
      <c r="AQ12" t="s">
        <v>188</v>
      </c>
      <c r="AR12" s="7">
        <v>5</v>
      </c>
    </row>
    <row r="13" spans="2:45" x14ac:dyDescent="0.2">
      <c r="B13" s="6" t="s">
        <v>65</v>
      </c>
      <c r="C13" s="9">
        <v>1.03</v>
      </c>
      <c r="D13" s="6"/>
      <c r="E13" s="6" t="s">
        <v>23</v>
      </c>
      <c r="F13" s="6" t="s">
        <v>23</v>
      </c>
      <c r="H13" s="21" t="s">
        <v>66</v>
      </c>
      <c r="I13" s="21"/>
      <c r="O13" s="22" t="s">
        <v>67</v>
      </c>
      <c r="P13" s="22"/>
      <c r="V13" s="19" t="s">
        <v>68</v>
      </c>
      <c r="W13" s="19"/>
      <c r="AC13" s="23" t="s">
        <v>69</v>
      </c>
      <c r="AD13" s="23"/>
      <c r="AE13" s="23" t="s">
        <v>69</v>
      </c>
      <c r="AQ13" t="s">
        <v>194</v>
      </c>
      <c r="AR13">
        <f>(AR9/(AR12*PI()/4))^(1/3)</f>
        <v>2.7181157288278146</v>
      </c>
      <c r="AS13" t="s">
        <v>189</v>
      </c>
    </row>
    <row r="14" spans="2:45" x14ac:dyDescent="0.2">
      <c r="B14" s="20" t="s">
        <v>70</v>
      </c>
      <c r="C14" s="20" t="s">
        <v>71</v>
      </c>
      <c r="D14" s="20" t="s">
        <v>72</v>
      </c>
      <c r="E14" s="20" t="s">
        <v>73</v>
      </c>
      <c r="F14" s="20" t="s">
        <v>74</v>
      </c>
      <c r="H14" s="20" t="s">
        <v>0</v>
      </c>
      <c r="I14" s="20" t="s">
        <v>1</v>
      </c>
      <c r="J14" s="20" t="s">
        <v>2</v>
      </c>
      <c r="K14" s="20" t="s">
        <v>3</v>
      </c>
      <c r="L14" s="20" t="s">
        <v>4</v>
      </c>
      <c r="M14" s="20" t="s">
        <v>5</v>
      </c>
      <c r="O14" s="20" t="s">
        <v>0</v>
      </c>
      <c r="P14" s="20" t="s">
        <v>1</v>
      </c>
      <c r="Q14" s="20" t="s">
        <v>2</v>
      </c>
      <c r="R14" s="20" t="s">
        <v>3</v>
      </c>
      <c r="S14" s="20" t="s">
        <v>4</v>
      </c>
      <c r="T14" s="20" t="s">
        <v>5</v>
      </c>
      <c r="V14" s="20" t="s">
        <v>0</v>
      </c>
      <c r="W14" s="20" t="s">
        <v>1</v>
      </c>
      <c r="X14" s="20" t="s">
        <v>2</v>
      </c>
      <c r="Y14" s="20" t="s">
        <v>3</v>
      </c>
      <c r="Z14" s="20" t="s">
        <v>4</v>
      </c>
      <c r="AA14" s="20" t="s">
        <v>5</v>
      </c>
      <c r="AC14" s="24" t="s">
        <v>75</v>
      </c>
      <c r="AD14" s="25"/>
      <c r="AE14" s="24" t="s">
        <v>76</v>
      </c>
      <c r="AQ14" t="s">
        <v>193</v>
      </c>
      <c r="AR14">
        <f>AR12*AR13</f>
        <v>13.590578644139073</v>
      </c>
      <c r="AS14" t="s">
        <v>189</v>
      </c>
    </row>
    <row r="15" spans="2:45" x14ac:dyDescent="0.2">
      <c r="B15" s="6">
        <v>0</v>
      </c>
      <c r="C15" s="59">
        <f>Sheet1!E8</f>
        <v>0.4</v>
      </c>
      <c r="D15" s="6">
        <v>0</v>
      </c>
      <c r="E15" s="6">
        <f>AC15*C15</f>
        <v>0.4635694668096953</v>
      </c>
      <c r="F15" s="6">
        <f>AE15*C15</f>
        <v>7.5498896753640743E-2</v>
      </c>
      <c r="H15" s="6">
        <f>Sheet1!P18</f>
        <v>582.61483302255522</v>
      </c>
      <c r="I15" s="6">
        <f>Sheet1!P19</f>
        <v>2330.4593320902209</v>
      </c>
      <c r="J15" s="6">
        <f>Sheet1!P20</f>
        <v>6.9649722802597118</v>
      </c>
      <c r="K15" s="6">
        <f>Sheet1!P21</f>
        <v>30.28731011570974</v>
      </c>
      <c r="L15" s="6">
        <f>Sheet1!P22</f>
        <v>1.6216384004508162</v>
      </c>
      <c r="M15" s="6">
        <f>Sheet1!P23</f>
        <v>1684.9063640310915</v>
      </c>
      <c r="O15" s="6">
        <f>H15/SUM($H15:$M15)</f>
        <v>0.12564872141502265</v>
      </c>
      <c r="P15" s="6">
        <f t="shared" ref="P15:T15" si="0">I15/SUM($H15:$M15)</f>
        <v>0.50259488566009058</v>
      </c>
      <c r="Q15" s="6">
        <f t="shared" si="0"/>
        <v>1.502089909324069E-3</v>
      </c>
      <c r="R15" s="6">
        <f t="shared" si="0"/>
        <v>6.5318656090444628E-3</v>
      </c>
      <c r="S15" s="6">
        <f t="shared" si="0"/>
        <v>3.4972812236357765E-4</v>
      </c>
      <c r="T15" s="6">
        <f t="shared" si="0"/>
        <v>0.36337270928415483</v>
      </c>
      <c r="V15" s="6">
        <f>O15*$G$8</f>
        <v>21.988526247628965</v>
      </c>
      <c r="W15" s="6">
        <f t="shared" ref="W15:AA15" si="1">P15*$G$8</f>
        <v>87.954104990515859</v>
      </c>
      <c r="X15" s="6">
        <f t="shared" si="1"/>
        <v>0.2628657341317121</v>
      </c>
      <c r="Y15" s="6">
        <f t="shared" si="1"/>
        <v>1.143076481582781</v>
      </c>
      <c r="Z15" s="6">
        <f t="shared" si="1"/>
        <v>6.1202421413626092E-2</v>
      </c>
      <c r="AA15" s="6">
        <f t="shared" si="1"/>
        <v>63.590224124727094</v>
      </c>
      <c r="AC15" s="14">
        <f>$M$9*V15*W15*(1-(1/$I$9)*(Z15*X15/(W15^3*V15)))/(1+$O$9*Z15/W15+$Q$9*W15^0.5+$S$9*Z15)^3</f>
        <v>1.1589236670242382</v>
      </c>
      <c r="AD15" s="16"/>
      <c r="AE15" s="15">
        <f xml:space="preserve"> $U$9*V15*(1-$K$9*Z15*Y15/(V15*W15))/(1+$O$9*Z15/W15+$Q$9*W15^0.5+$S$9*Z15)</f>
        <v>0.18874724188410186</v>
      </c>
      <c r="AQ15" t="s">
        <v>192</v>
      </c>
      <c r="AR15" s="43">
        <v>5.0000000000000001E-3</v>
      </c>
      <c r="AS15" t="s">
        <v>189</v>
      </c>
    </row>
    <row r="16" spans="2:45" x14ac:dyDescent="0.2">
      <c r="B16" s="6">
        <v>1</v>
      </c>
      <c r="C16" s="6">
        <f>C15*C$13</f>
        <v>0.41200000000000003</v>
      </c>
      <c r="D16" s="6">
        <f>D15+C15</f>
        <v>0.4</v>
      </c>
      <c r="E16" s="6">
        <f>AC16*C16</f>
        <v>0.4540385600239511</v>
      </c>
      <c r="F16" s="6">
        <f>AE16*C16</f>
        <v>7.6362428667150095E-2</v>
      </c>
      <c r="H16" s="6">
        <f>H15-E15-F15</f>
        <v>582.07576465899194</v>
      </c>
      <c r="I16" s="6">
        <f>I15-3*E15-F15</f>
        <v>2328.9931247930381</v>
      </c>
      <c r="J16" s="6">
        <f>J15+E15</f>
        <v>7.4285417470694073</v>
      </c>
      <c r="K16" s="6">
        <f>K15+F15</f>
        <v>30.36280901246338</v>
      </c>
      <c r="L16" s="6">
        <f>L15+E15+F15</f>
        <v>2.1607067640141522</v>
      </c>
      <c r="M16" s="6">
        <f>M15</f>
        <v>1684.9063640310915</v>
      </c>
      <c r="O16" s="6">
        <f>H16/SUM($H16:$M16)</f>
        <v>0.12555756930809103</v>
      </c>
      <c r="P16" s="6">
        <f t="shared" ref="P16" si="2">I16/SUM($H16:$M16)</f>
        <v>0.50237912903930082</v>
      </c>
      <c r="Q16" s="6">
        <f t="shared" ref="Q16" si="3">J16/SUM($H16:$M16)</f>
        <v>1.6023852939696624E-3</v>
      </c>
      <c r="R16" s="6">
        <f t="shared" ref="R16" si="4">K16/SUM($H16:$M16)</f>
        <v>6.5494575250081401E-3</v>
      </c>
      <c r="S16" s="6">
        <f t="shared" ref="S16" si="5">L16/SUM($H16:$M16)</f>
        <v>4.660786546165594E-4</v>
      </c>
      <c r="T16" s="6">
        <f t="shared" ref="T16" si="6">M16/SUM($H16:$M16)</f>
        <v>0.36344538017901373</v>
      </c>
      <c r="V16" s="6">
        <f>O16*$G$8</f>
        <v>21.972574628915929</v>
      </c>
      <c r="W16" s="6">
        <f t="shared" ref="W16" si="7">P16*$G$8</f>
        <v>87.916347581877645</v>
      </c>
      <c r="X16" s="6">
        <f t="shared" ref="X16" si="8">Q16*$G$8</f>
        <v>0.28041742644469092</v>
      </c>
      <c r="Y16" s="6">
        <f t="shared" ref="Y16" si="9">R16*$G$8</f>
        <v>1.1461550668764244</v>
      </c>
      <c r="Z16" s="6">
        <f t="shared" ref="Z16" si="10">S16*$G$8</f>
        <v>8.1563764557897891E-2</v>
      </c>
      <c r="AA16" s="6">
        <f t="shared" ref="AA16" si="11">T16*$G$8</f>
        <v>63.602941531327403</v>
      </c>
      <c r="AC16" s="14">
        <f>$M$9*V16*W16*(1-(1/$I$9)*(Z16*X16/(W16^3*V16)))/(1+$O$9*Z16/W16+$Q$9*W16^0.5+$S$9*Z16)^3</f>
        <v>1.1020353398639589</v>
      </c>
      <c r="AD16" s="17"/>
      <c r="AE16" s="15">
        <f xml:space="preserve"> $U$9*V16*(1-$K$9*Z16*Y16/(V16*W16))/(1+$O$9*Z16/W16+$Q$9*W16^0.5+$S$9*Z16)</f>
        <v>0.18534570064842254</v>
      </c>
      <c r="AQ16" t="s">
        <v>191</v>
      </c>
      <c r="AR16">
        <f>Sheet1!Q78</f>
        <v>74.827151703047889</v>
      </c>
      <c r="AS16" t="s">
        <v>184</v>
      </c>
    </row>
    <row r="17" spans="2:45" x14ac:dyDescent="0.2">
      <c r="B17" s="6">
        <f>B16+1</f>
        <v>2</v>
      </c>
      <c r="C17" s="6">
        <f t="shared" ref="C17:C23" si="12">C16*C$13</f>
        <v>0.42436000000000007</v>
      </c>
      <c r="D17" s="6">
        <f t="shared" ref="D17:D23" si="13">D16+C16</f>
        <v>0.81200000000000006</v>
      </c>
      <c r="E17" s="6">
        <f t="shared" ref="E17:E23" si="14">AC17*C17</f>
        <v>0.44539434671583195</v>
      </c>
      <c r="F17" s="6">
        <f t="shared" ref="F17:F23" si="15">AE17*C17</f>
        <v>7.7276751869857302E-2</v>
      </c>
      <c r="H17" s="6">
        <f t="shared" ref="H17:H23" si="16">H16-E16-F16</f>
        <v>581.54536367030084</v>
      </c>
      <c r="I17" s="6">
        <f t="shared" ref="I17:I23" si="17">I16-3*E16-F16</f>
        <v>2327.5546466842993</v>
      </c>
      <c r="J17" s="6">
        <f t="shared" ref="J17:J23" si="18">J16+E16</f>
        <v>7.8825803070933587</v>
      </c>
      <c r="K17" s="6">
        <f t="shared" ref="K17:K23" si="19">K16+F16</f>
        <v>30.439171441130529</v>
      </c>
      <c r="L17" s="6">
        <f t="shared" ref="L17:L23" si="20">L16+E16+F16</f>
        <v>2.6911077527052534</v>
      </c>
      <c r="M17" s="6">
        <f t="shared" ref="M17:M23" si="21">M16</f>
        <v>1684.9063640310915</v>
      </c>
      <c r="O17" s="6">
        <f t="shared" ref="O17:O23" si="22">H17/SUM($H17:$M17)</f>
        <v>0.12546773472235526</v>
      </c>
      <c r="P17" s="6">
        <f t="shared" ref="P17:P23" si="23">I17/SUM($H17:$M17)</f>
        <v>0.50216720346434585</v>
      </c>
      <c r="Q17" s="6">
        <f t="shared" ref="Q17:Q23" si="24">J17/SUM($H17:$M17)</f>
        <v>1.7006575181962185E-3</v>
      </c>
      <c r="R17" s="6">
        <f t="shared" ref="R17:R23" si="25">K17/SUM($H17:$M17)</f>
        <v>6.5672157773563871E-3</v>
      </c>
      <c r="S17" s="6">
        <f t="shared" ref="S17:S23" si="26">L17/SUM($H17:$M17)</f>
        <v>5.8060336255577269E-4</v>
      </c>
      <c r="T17" s="6">
        <f t="shared" ref="T17:T23" si="27">M17/SUM($H17:$M17)</f>
        <v>0.36351658515519047</v>
      </c>
      <c r="V17" s="6">
        <f t="shared" ref="V17:V23" si="28">O17*$G$8</f>
        <v>21.956853576412168</v>
      </c>
      <c r="W17" s="6">
        <f t="shared" ref="W17:W23" si="29">P17*$G$8</f>
        <v>87.879260606260516</v>
      </c>
      <c r="X17" s="6">
        <f t="shared" ref="X17:X23" si="30">Q17*$G$8</f>
        <v>0.29761506568433826</v>
      </c>
      <c r="Y17" s="6">
        <f t="shared" ref="Y17:Y23" si="31">R17*$G$8</f>
        <v>1.1492627610373678</v>
      </c>
      <c r="Z17" s="6">
        <f t="shared" ref="Z17:Z23" si="32">S17*$G$8</f>
        <v>0.10160558844726023</v>
      </c>
      <c r="AA17" s="6">
        <f t="shared" ref="AA17:AA23" si="33">T17*$G$8</f>
        <v>63.615402402158331</v>
      </c>
      <c r="AC17" s="14">
        <f t="shared" ref="AC17:AC23" si="34">$M$9*V17*W17*(1-(1/$I$9)*(Z17*X17/(W17^3*V17)))/(1+$O$9*Z17/W17+$Q$9*W17^0.5+$S$9*Z17)^3</f>
        <v>1.0495672229141104</v>
      </c>
      <c r="AD17" s="17"/>
      <c r="AE17" s="15">
        <f t="shared" ref="AE17:AE23" si="35" xml:space="preserve"> $U$9*V17*(1-$K$9*Z17*Y17/(V17*W17))/(1+$O$9*Z17/W17+$Q$9*W17^0.5+$S$9*Z17)</f>
        <v>0.18210187545917922</v>
      </c>
      <c r="AQ17" t="s">
        <v>190</v>
      </c>
      <c r="AR17">
        <f>0.000024267131</f>
        <v>2.4267131000000002E-5</v>
      </c>
      <c r="AS17" t="s">
        <v>198</v>
      </c>
    </row>
    <row r="18" spans="2:45" x14ac:dyDescent="0.2">
      <c r="B18" s="6">
        <f t="shared" ref="B18:B81" si="36">B17+1</f>
        <v>3</v>
      </c>
      <c r="C18" s="6">
        <f t="shared" si="12"/>
        <v>0.43709080000000006</v>
      </c>
      <c r="D18" s="6">
        <f t="shared" si="13"/>
        <v>1.2363600000000001</v>
      </c>
      <c r="E18" s="6">
        <f t="shared" si="14"/>
        <v>0.43753098037956889</v>
      </c>
      <c r="F18" s="6">
        <f t="shared" si="15"/>
        <v>7.8239554231911909E-2</v>
      </c>
      <c r="H18" s="6">
        <f t="shared" si="16"/>
        <v>581.0226925717152</v>
      </c>
      <c r="I18" s="6">
        <f t="shared" si="17"/>
        <v>2326.1411868922819</v>
      </c>
      <c r="J18" s="6">
        <f t="shared" si="18"/>
        <v>8.327974653809191</v>
      </c>
      <c r="K18" s="6">
        <f t="shared" si="19"/>
        <v>30.516448193000386</v>
      </c>
      <c r="L18" s="6">
        <f t="shared" si="20"/>
        <v>3.2137788512909427</v>
      </c>
      <c r="M18" s="6">
        <f t="shared" si="21"/>
        <v>1684.9063640310915</v>
      </c>
      <c r="O18" s="6">
        <f t="shared" si="22"/>
        <v>0.12537906522085907</v>
      </c>
      <c r="P18" s="6">
        <f t="shared" si="23"/>
        <v>0.50195872091225746</v>
      </c>
      <c r="Q18" s="6">
        <f t="shared" si="24"/>
        <v>1.7970962074751061E-3</v>
      </c>
      <c r="R18" s="6">
        <f t="shared" si="25"/>
        <v>6.5851537250017252E-3</v>
      </c>
      <c r="S18" s="6">
        <f t="shared" si="26"/>
        <v>6.9350232504333733E-4</v>
      </c>
      <c r="T18" s="6">
        <f t="shared" si="27"/>
        <v>0.36358646160936314</v>
      </c>
      <c r="V18" s="6">
        <f t="shared" si="28"/>
        <v>21.941336413650337</v>
      </c>
      <c r="W18" s="6">
        <f t="shared" si="29"/>
        <v>87.842776159645055</v>
      </c>
      <c r="X18" s="6">
        <f t="shared" si="30"/>
        <v>0.31449183630814359</v>
      </c>
      <c r="Y18" s="6">
        <f t="shared" si="31"/>
        <v>1.152401901875302</v>
      </c>
      <c r="Z18" s="6">
        <f t="shared" si="32"/>
        <v>0.12136290688258403</v>
      </c>
      <c r="AA18" s="6">
        <f t="shared" si="33"/>
        <v>63.627630781638551</v>
      </c>
      <c r="AC18" s="14">
        <f t="shared" si="34"/>
        <v>1.0010070685074333</v>
      </c>
      <c r="AD18" s="17"/>
      <c r="AE18" s="15">
        <f t="shared" si="35"/>
        <v>0.17900068871710842</v>
      </c>
      <c r="AQ18" t="s">
        <v>197</v>
      </c>
      <c r="AR18">
        <f>Sheet1!Q52</f>
        <v>1.050066199356072</v>
      </c>
      <c r="AS18" t="s">
        <v>183</v>
      </c>
    </row>
    <row r="19" spans="2:45" x14ac:dyDescent="0.2">
      <c r="B19" s="6">
        <f t="shared" si="36"/>
        <v>4</v>
      </c>
      <c r="C19" s="6">
        <f t="shared" si="12"/>
        <v>0.45020352400000008</v>
      </c>
      <c r="D19" s="6">
        <f t="shared" si="13"/>
        <v>1.6734508000000001</v>
      </c>
      <c r="E19" s="6">
        <f t="shared" si="14"/>
        <v>0.43035908010833845</v>
      </c>
      <c r="F19" s="6">
        <f t="shared" si="15"/>
        <v>7.9248917723719697E-2</v>
      </c>
      <c r="H19" s="6">
        <f t="shared" si="16"/>
        <v>580.50692203710366</v>
      </c>
      <c r="I19" s="6">
        <f t="shared" si="17"/>
        <v>2324.7503543969115</v>
      </c>
      <c r="J19" s="6">
        <f t="shared" si="18"/>
        <v>8.7655056341887594</v>
      </c>
      <c r="K19" s="6">
        <f t="shared" si="19"/>
        <v>30.5946877472323</v>
      </c>
      <c r="L19" s="6">
        <f t="shared" si="20"/>
        <v>3.7295493859024234</v>
      </c>
      <c r="M19" s="6">
        <f t="shared" si="21"/>
        <v>1684.9063640310915</v>
      </c>
      <c r="O19" s="6">
        <f t="shared" si="22"/>
        <v>0.12529142570487004</v>
      </c>
      <c r="P19" s="6">
        <f t="shared" si="23"/>
        <v>0.50175333876841177</v>
      </c>
      <c r="Q19" s="6">
        <f t="shared" si="24"/>
        <v>1.8918683933649724E-3</v>
      </c>
      <c r="R19" s="6">
        <f t="shared" si="25"/>
        <v>6.6032839598096074E-3</v>
      </c>
      <c r="S19" s="6">
        <f t="shared" si="26"/>
        <v>8.0495260617507406E-4</v>
      </c>
      <c r="T19" s="6">
        <f t="shared" si="27"/>
        <v>0.36365513056736859</v>
      </c>
      <c r="V19" s="6">
        <f t="shared" si="28"/>
        <v>21.925999498352255</v>
      </c>
      <c r="W19" s="6">
        <f t="shared" si="29"/>
        <v>87.80683428447206</v>
      </c>
      <c r="X19" s="6">
        <f t="shared" si="30"/>
        <v>0.33107696883887017</v>
      </c>
      <c r="Y19" s="6">
        <f t="shared" si="31"/>
        <v>1.1555746929666812</v>
      </c>
      <c r="Z19" s="6">
        <f t="shared" si="32"/>
        <v>0.14086670608063795</v>
      </c>
      <c r="AA19" s="6">
        <f t="shared" si="33"/>
        <v>63.639647849289503</v>
      </c>
      <c r="AC19" s="14">
        <f t="shared" si="34"/>
        <v>0.95592117157292267</v>
      </c>
      <c r="AD19" s="17"/>
      <c r="AE19" s="15">
        <f t="shared" si="35"/>
        <v>0.17602909239715253</v>
      </c>
      <c r="AQ19" t="s">
        <v>196</v>
      </c>
      <c r="AR19">
        <f>AR18/PI()*AR13^2/4</f>
        <v>0.6173659921489304</v>
      </c>
      <c r="AS19" t="s">
        <v>200</v>
      </c>
    </row>
    <row r="20" spans="2:45" x14ac:dyDescent="0.2">
      <c r="B20" s="6">
        <f t="shared" si="36"/>
        <v>5</v>
      </c>
      <c r="C20" s="6">
        <f t="shared" si="12"/>
        <v>0.46370962972000007</v>
      </c>
      <c r="D20" s="6">
        <f t="shared" si="13"/>
        <v>2.1236543240000003</v>
      </c>
      <c r="E20" s="6">
        <f t="shared" si="14"/>
        <v>0.42380261112784184</v>
      </c>
      <c r="F20" s="6">
        <f t="shared" si="15"/>
        <v>8.0303250304318438E-2</v>
      </c>
      <c r="H20" s="6">
        <f t="shared" si="16"/>
        <v>579.9973140392716</v>
      </c>
      <c r="I20" s="6">
        <f t="shared" si="17"/>
        <v>2323.3800282388625</v>
      </c>
      <c r="J20" s="6">
        <f t="shared" si="18"/>
        <v>9.1958647142970982</v>
      </c>
      <c r="K20" s="6">
        <f t="shared" si="19"/>
        <v>30.67393666495602</v>
      </c>
      <c r="L20" s="6">
        <f t="shared" si="20"/>
        <v>4.239157383734482</v>
      </c>
      <c r="M20" s="6">
        <f t="shared" si="21"/>
        <v>1684.9063640310915</v>
      </c>
      <c r="O20" s="6">
        <f t="shared" si="22"/>
        <v>0.12520469570992859</v>
      </c>
      <c r="P20" s="6">
        <f t="shared" si="23"/>
        <v>0.50155075275827121</v>
      </c>
      <c r="Q20" s="6">
        <f t="shared" si="24"/>
        <v>1.9851220263845545E-3</v>
      </c>
      <c r="R20" s="6">
        <f t="shared" si="25"/>
        <v>6.6216184340836424E-3</v>
      </c>
      <c r="S20" s="6">
        <f t="shared" si="26"/>
        <v>9.1511184181283106E-4</v>
      </c>
      <c r="T20" s="6">
        <f t="shared" si="27"/>
        <v>0.36372269922951922</v>
      </c>
      <c r="V20" s="6">
        <f t="shared" si="28"/>
        <v>21.910821749237503</v>
      </c>
      <c r="W20" s="6">
        <f t="shared" si="29"/>
        <v>87.771381732697463</v>
      </c>
      <c r="X20" s="6">
        <f t="shared" si="30"/>
        <v>0.34739635461729701</v>
      </c>
      <c r="Y20" s="6">
        <f t="shared" si="31"/>
        <v>1.1587832259646373</v>
      </c>
      <c r="Z20" s="6">
        <f t="shared" si="32"/>
        <v>0.16014457231724544</v>
      </c>
      <c r="AA20" s="6">
        <f t="shared" si="33"/>
        <v>63.651472365165866</v>
      </c>
      <c r="AC20" s="14">
        <f t="shared" si="34"/>
        <v>0.91393963800955547</v>
      </c>
      <c r="AD20" s="17"/>
      <c r="AE20" s="15">
        <f t="shared" si="35"/>
        <v>0.17317572281776342</v>
      </c>
      <c r="AQ20" t="s">
        <v>195</v>
      </c>
      <c r="AR20" s="44">
        <f>((1-AR11)/AR11^3*(150/(AR16*AR19*AR15/AR17/(1-AR11))+1.75)*(AR14/AR15)*AR16*AR19^2)*0.00001</f>
        <v>3.1279577217981971</v>
      </c>
      <c r="AS20" t="s">
        <v>201</v>
      </c>
    </row>
    <row r="21" spans="2:45" x14ac:dyDescent="0.2">
      <c r="B21" s="6">
        <f t="shared" si="36"/>
        <v>6</v>
      </c>
      <c r="C21" s="6">
        <f t="shared" si="12"/>
        <v>0.47762091861160011</v>
      </c>
      <c r="D21" s="6">
        <f t="shared" si="13"/>
        <v>2.5873639537200006</v>
      </c>
      <c r="E21" s="6">
        <f t="shared" si="14"/>
        <v>0.41779645354497214</v>
      </c>
      <c r="F21" s="6">
        <f t="shared" si="15"/>
        <v>8.1401231885259495E-2</v>
      </c>
      <c r="H21" s="6">
        <f t="shared" si="16"/>
        <v>579.49320817783951</v>
      </c>
      <c r="I21" s="6">
        <f t="shared" si="17"/>
        <v>2322.0283171551746</v>
      </c>
      <c r="J21" s="6">
        <f t="shared" si="18"/>
        <v>9.6196673254249401</v>
      </c>
      <c r="K21" s="6">
        <f t="shared" si="19"/>
        <v>30.754239915260339</v>
      </c>
      <c r="L21" s="6">
        <f t="shared" si="20"/>
        <v>4.7432632451666423</v>
      </c>
      <c r="M21" s="6">
        <f t="shared" si="21"/>
        <v>1684.9063640310915</v>
      </c>
      <c r="O21" s="6">
        <f t="shared" si="22"/>
        <v>0.12511876721255794</v>
      </c>
      <c r="P21" s="6">
        <f t="shared" si="23"/>
        <v>0.50135069121629117</v>
      </c>
      <c r="Q21" s="6">
        <f t="shared" si="24"/>
        <v>2.0769888236252154E-3</v>
      </c>
      <c r="R21" s="6">
        <f t="shared" si="25"/>
        <v>6.6401685653160085E-3</v>
      </c>
      <c r="S21" s="6">
        <f t="shared" si="26"/>
        <v>1.0241211483150946E-3</v>
      </c>
      <c r="T21" s="6">
        <f t="shared" si="27"/>
        <v>0.36378926303389464</v>
      </c>
      <c r="V21" s="6">
        <f t="shared" si="28"/>
        <v>21.89578426219764</v>
      </c>
      <c r="W21" s="6">
        <f t="shared" si="29"/>
        <v>87.736370962850955</v>
      </c>
      <c r="X21" s="6">
        <f t="shared" si="30"/>
        <v>0.36347304413441273</v>
      </c>
      <c r="Y21" s="6">
        <f t="shared" si="31"/>
        <v>1.1620294989303015</v>
      </c>
      <c r="Z21" s="6">
        <f t="shared" si="32"/>
        <v>0.17922120095514155</v>
      </c>
      <c r="AA21" s="6">
        <f t="shared" si="33"/>
        <v>63.663121030931563</v>
      </c>
      <c r="AC21" s="14">
        <f t="shared" si="34"/>
        <v>0.87474488085544455</v>
      </c>
      <c r="AD21" s="17"/>
      <c r="AE21" s="15">
        <f t="shared" si="35"/>
        <v>0.17043062544640078</v>
      </c>
    </row>
    <row r="22" spans="2:45" x14ac:dyDescent="0.2">
      <c r="B22" s="6">
        <f t="shared" si="36"/>
        <v>7</v>
      </c>
      <c r="C22" s="6">
        <f t="shared" si="12"/>
        <v>0.49194954616994813</v>
      </c>
      <c r="D22" s="6">
        <f t="shared" si="13"/>
        <v>3.0649848723316007</v>
      </c>
      <c r="E22" s="6">
        <f t="shared" si="14"/>
        <v>0.41228448752363872</v>
      </c>
      <c r="F22" s="6">
        <f t="shared" si="15"/>
        <v>8.2541771038886713E-2</v>
      </c>
      <c r="H22" s="6">
        <f t="shared" si="16"/>
        <v>578.9940104924093</v>
      </c>
      <c r="I22" s="6">
        <f t="shared" si="17"/>
        <v>2320.6935265626544</v>
      </c>
      <c r="J22" s="6">
        <f t="shared" si="18"/>
        <v>10.037463778969911</v>
      </c>
      <c r="K22" s="6">
        <f t="shared" si="19"/>
        <v>30.835641147145598</v>
      </c>
      <c r="L22" s="6">
        <f t="shared" si="20"/>
        <v>5.2424609305968737</v>
      </c>
      <c r="M22" s="6">
        <f t="shared" si="21"/>
        <v>1684.9063640310915</v>
      </c>
      <c r="O22" s="6">
        <f t="shared" si="22"/>
        <v>0.12503354283520909</v>
      </c>
      <c r="P22" s="6">
        <f t="shared" si="23"/>
        <v>0.50115291039727983</v>
      </c>
      <c r="Q22" s="6">
        <f t="shared" si="24"/>
        <v>2.1675865978256913E-3</v>
      </c>
      <c r="R22" s="6">
        <f t="shared" si="25"/>
        <v>6.658945323016102E-3</v>
      </c>
      <c r="S22" s="6">
        <f t="shared" si="26"/>
        <v>1.1321075027533256E-3</v>
      </c>
      <c r="T22" s="6">
        <f t="shared" si="27"/>
        <v>0.3638549073439159</v>
      </c>
      <c r="V22" s="6">
        <f t="shared" si="28"/>
        <v>21.880869996161593</v>
      </c>
      <c r="W22" s="6">
        <f t="shared" si="29"/>
        <v>87.701759319523973</v>
      </c>
      <c r="X22" s="6">
        <f t="shared" si="30"/>
        <v>0.37932765461949597</v>
      </c>
      <c r="Y22" s="6">
        <f t="shared" si="31"/>
        <v>1.1653154315278178</v>
      </c>
      <c r="Z22" s="6">
        <f t="shared" si="32"/>
        <v>0.19811881298183198</v>
      </c>
      <c r="AA22" s="6">
        <f t="shared" si="33"/>
        <v>63.674608785185285</v>
      </c>
      <c r="AC22" s="14">
        <f t="shared" si="34"/>
        <v>0.83806254266003843</v>
      </c>
      <c r="AD22" s="17"/>
      <c r="AE22" s="15">
        <f t="shared" si="35"/>
        <v>0.1677850334074136</v>
      </c>
    </row>
    <row r="23" spans="2:45" x14ac:dyDescent="0.2">
      <c r="B23" s="6">
        <f t="shared" si="36"/>
        <v>8</v>
      </c>
      <c r="C23" s="6">
        <f t="shared" si="12"/>
        <v>0.50670803255504659</v>
      </c>
      <c r="D23" s="6">
        <f t="shared" si="13"/>
        <v>3.556934418501549</v>
      </c>
      <c r="E23" s="6">
        <f t="shared" si="14"/>
        <v>0.4072180706184198</v>
      </c>
      <c r="F23" s="6">
        <f t="shared" si="15"/>
        <v>8.3723969999718442E-2</v>
      </c>
      <c r="H23" s="6">
        <f t="shared" si="16"/>
        <v>578.49918423384679</v>
      </c>
      <c r="I23" s="6">
        <f t="shared" si="17"/>
        <v>2319.3741313290448</v>
      </c>
      <c r="J23" s="6">
        <f t="shared" si="18"/>
        <v>10.44974826649355</v>
      </c>
      <c r="K23" s="6">
        <f t="shared" si="19"/>
        <v>30.918182918184485</v>
      </c>
      <c r="L23" s="6">
        <f t="shared" si="20"/>
        <v>5.7372871891593995</v>
      </c>
      <c r="M23" s="6">
        <f t="shared" si="21"/>
        <v>1684.9063640310915</v>
      </c>
      <c r="O23" s="6">
        <f t="shared" si="22"/>
        <v>0.12494893436503475</v>
      </c>
      <c r="P23" s="6">
        <f t="shared" si="23"/>
        <v>0.50095719060901056</v>
      </c>
      <c r="Q23" s="6">
        <f t="shared" si="24"/>
        <v>2.2570211780168063E-3</v>
      </c>
      <c r="R23" s="6">
        <f t="shared" si="25"/>
        <v>6.6779593012680069E-3</v>
      </c>
      <c r="S23" s="6">
        <f t="shared" si="26"/>
        <v>1.2391857066852024E-3</v>
      </c>
      <c r="T23" s="6">
        <f t="shared" si="27"/>
        <v>0.3639197088399847</v>
      </c>
      <c r="V23" s="6">
        <f t="shared" si="28"/>
        <v>21.86606351388108</v>
      </c>
      <c r="W23" s="6">
        <f t="shared" si="29"/>
        <v>87.667508356576846</v>
      </c>
      <c r="X23" s="6">
        <f t="shared" si="30"/>
        <v>0.39497870615294112</v>
      </c>
      <c r="Y23" s="6">
        <f t="shared" si="31"/>
        <v>1.1686428777219011</v>
      </c>
      <c r="Z23" s="6">
        <f t="shared" si="32"/>
        <v>0.21685749866991041</v>
      </c>
      <c r="AA23" s="6">
        <f t="shared" si="33"/>
        <v>63.685949046997322</v>
      </c>
      <c r="AC23" s="14">
        <f t="shared" si="34"/>
        <v>0.80365426331421219</v>
      </c>
      <c r="AD23" s="17"/>
      <c r="AE23" s="15">
        <f t="shared" si="35"/>
        <v>0.1652311876280016</v>
      </c>
    </row>
    <row r="24" spans="2:45" x14ac:dyDescent="0.2">
      <c r="B24" s="6">
        <f t="shared" si="36"/>
        <v>9</v>
      </c>
      <c r="C24" s="6">
        <f t="shared" ref="C24:C87" si="37">C23*C$13</f>
        <v>0.52190927353169803</v>
      </c>
      <c r="D24" s="6">
        <f t="shared" ref="D24:D87" si="38">D23+C23</f>
        <v>4.0636424510565954</v>
      </c>
      <c r="E24" s="6">
        <f t="shared" ref="E24:E87" si="39">AC24*C24</f>
        <v>0.40255481617448879</v>
      </c>
      <c r="F24" s="6">
        <f t="shared" ref="F24:F87" si="40">AE24*C24</f>
        <v>8.4947096132311703E-2</v>
      </c>
      <c r="H24" s="6">
        <f t="shared" ref="H24:H87" si="41">H23-E23-F23</f>
        <v>578.00824219322863</v>
      </c>
      <c r="I24" s="6">
        <f t="shared" ref="I24:I87" si="42">I23-3*E23-F23</f>
        <v>2318.0687531471895</v>
      </c>
      <c r="J24" s="6">
        <f t="shared" ref="J24:J87" si="43">J23+E23</f>
        <v>10.85696633711197</v>
      </c>
      <c r="K24" s="6">
        <f t="shared" ref="K24:K87" si="44">K23+F23</f>
        <v>31.001906888184202</v>
      </c>
      <c r="L24" s="6">
        <f t="shared" ref="L24:L87" si="45">L23+E23+F23</f>
        <v>6.2282292297775381</v>
      </c>
      <c r="M24" s="6">
        <f t="shared" ref="M24:M87" si="46">M23</f>
        <v>1684.9063640310915</v>
      </c>
      <c r="O24" s="6">
        <f t="shared" ref="O24:O87" si="47">H24/SUM($H24:$M24)</f>
        <v>0.12486486152236115</v>
      </c>
      <c r="P24" s="6">
        <f t="shared" ref="P24:P87" si="48">I24/SUM($H24:$M24)</f>
        <v>0.50076333299806886</v>
      </c>
      <c r="Q24" s="6">
        <f t="shared" ref="Q24:Q87" si="49">J24/SUM($H24:$M24)</f>
        <v>2.3453880053551667E-3</v>
      </c>
      <c r="R24" s="6">
        <f t="shared" ref="R24:R87" si="50">K24/SUM($H24:$M24)</f>
        <v>6.6972207798174609E-3</v>
      </c>
      <c r="S24" s="6">
        <f t="shared" ref="S24:S87" si="51">L24/SUM($H24:$M24)</f>
        <v>1.3454600186232517E-3</v>
      </c>
      <c r="T24" s="6">
        <f t="shared" ref="T24:T87" si="52">M24/SUM($H24:$M24)</f>
        <v>0.36398373667577422</v>
      </c>
      <c r="V24" s="6">
        <f t="shared" ref="V24:V87" si="53">O24*$G$8</f>
        <v>21.851350766413201</v>
      </c>
      <c r="W24" s="6">
        <f t="shared" ref="W24:W87" si="54">P24*$G$8</f>
        <v>87.633583274662044</v>
      </c>
      <c r="X24" s="6">
        <f t="shared" ref="X24:X87" si="55">Q24*$G$8</f>
        <v>0.41044290093715419</v>
      </c>
      <c r="Y24" s="6">
        <f t="shared" ref="Y24:Y87" si="56">R24*$G$8</f>
        <v>1.1720136364680556</v>
      </c>
      <c r="Z24" s="6">
        <f t="shared" ref="Z24:Z87" si="57">S24*$G$8</f>
        <v>0.23545550325906905</v>
      </c>
      <c r="AA24" s="6">
        <f t="shared" ref="AA24:AA87" si="58">T24*$G$8</f>
        <v>63.69715391826049</v>
      </c>
      <c r="AC24" s="14">
        <f t="shared" ref="AC24:AC87" si="59">$M$9*V24*W24*(1-(1/$I$9)*(Z24*X24/(W24^3*V24)))/(1+$O$9*Z24/W24+$Q$9*W24^0.5+$S$9*Z24)^3</f>
        <v>0.77131186700410248</v>
      </c>
      <c r="AD24" s="17"/>
      <c r="AE24" s="15">
        <f t="shared" ref="AE24:AE87" si="60" xml:space="preserve"> $U$9*V24*(1-$K$9*Z24*Y24/(V24*W24))/(1+$O$9*Z24/W24+$Q$9*W24^0.5+$S$9*Z24)</f>
        <v>0.16276218959951563</v>
      </c>
    </row>
    <row r="25" spans="2:45" x14ac:dyDescent="0.2">
      <c r="B25" s="6">
        <f t="shared" si="36"/>
        <v>10</v>
      </c>
      <c r="C25" s="6">
        <f t="shared" si="37"/>
        <v>0.537566551737649</v>
      </c>
      <c r="D25" s="6">
        <f t="shared" si="38"/>
        <v>4.5855517245882931</v>
      </c>
      <c r="E25" s="6">
        <f t="shared" si="39"/>
        <v>0.3982576052046844</v>
      </c>
      <c r="F25" s="6">
        <f t="shared" si="40"/>
        <v>8.621055848867451E-2</v>
      </c>
      <c r="H25" s="6">
        <f t="shared" si="41"/>
        <v>577.52074028092181</v>
      </c>
      <c r="I25" s="6">
        <f t="shared" si="42"/>
        <v>2316.7761416025337</v>
      </c>
      <c r="J25" s="6">
        <f t="shared" si="43"/>
        <v>11.259521153286459</v>
      </c>
      <c r="K25" s="6">
        <f t="shared" si="44"/>
        <v>31.086853984316512</v>
      </c>
      <c r="L25" s="6">
        <f t="shared" si="45"/>
        <v>6.7157311420843389</v>
      </c>
      <c r="M25" s="6">
        <f t="shared" si="46"/>
        <v>1684.9063640310915</v>
      </c>
      <c r="O25" s="6">
        <f t="shared" si="47"/>
        <v>0.12478125092959991</v>
      </c>
      <c r="P25" s="6">
        <f t="shared" si="48"/>
        <v>0.50057115685991593</v>
      </c>
      <c r="Q25" s="6">
        <f t="shared" si="49"/>
        <v>2.432773468346707E-3</v>
      </c>
      <c r="R25" s="6">
        <f t="shared" si="50"/>
        <v>6.716739775859743E-3</v>
      </c>
      <c r="S25" s="6">
        <f t="shared" si="51"/>
        <v>1.4510255205874162E-3</v>
      </c>
      <c r="T25" s="6">
        <f t="shared" si="52"/>
        <v>0.36404705344569044</v>
      </c>
      <c r="V25" s="6">
        <f t="shared" si="53"/>
        <v>21.836718912679984</v>
      </c>
      <c r="W25" s="6">
        <f t="shared" si="54"/>
        <v>87.59995245048529</v>
      </c>
      <c r="X25" s="6">
        <f t="shared" si="55"/>
        <v>0.42573535696067372</v>
      </c>
      <c r="Y25" s="6">
        <f t="shared" si="56"/>
        <v>1.175429460775455</v>
      </c>
      <c r="Z25" s="6">
        <f t="shared" si="57"/>
        <v>0.25392946610279782</v>
      </c>
      <c r="AA25" s="6">
        <f t="shared" si="58"/>
        <v>63.708234352995824</v>
      </c>
      <c r="AC25" s="14">
        <f t="shared" si="59"/>
        <v>0.74085265148536961</v>
      </c>
      <c r="AD25" s="17"/>
      <c r="AE25" s="15">
        <f t="shared" si="60"/>
        <v>0.16037187992817722</v>
      </c>
    </row>
    <row r="26" spans="2:45" x14ac:dyDescent="0.2">
      <c r="B26" s="6">
        <f t="shared" si="36"/>
        <v>11</v>
      </c>
      <c r="C26" s="6">
        <f t="shared" si="37"/>
        <v>0.55369354828977846</v>
      </c>
      <c r="D26" s="6">
        <f t="shared" si="38"/>
        <v>5.1231182763259424</v>
      </c>
      <c r="E26" s="6">
        <f t="shared" si="39"/>
        <v>0.39429378102654977</v>
      </c>
      <c r="F26" s="6">
        <f t="shared" si="40"/>
        <v>8.7513888406146309E-2</v>
      </c>
      <c r="H26" s="6">
        <f t="shared" si="41"/>
        <v>577.03627211722846</v>
      </c>
      <c r="I26" s="6">
        <f t="shared" si="42"/>
        <v>2315.4951582284307</v>
      </c>
      <c r="J26" s="6">
        <f t="shared" si="43"/>
        <v>11.657778758491142</v>
      </c>
      <c r="K26" s="6">
        <f t="shared" si="44"/>
        <v>31.173064542805186</v>
      </c>
      <c r="L26" s="6">
        <f t="shared" si="45"/>
        <v>7.2001993057776978</v>
      </c>
      <c r="M26" s="6">
        <f t="shared" si="46"/>
        <v>1684.9063640310915</v>
      </c>
      <c r="O26" s="6">
        <f t="shared" si="47"/>
        <v>0.12469803524238095</v>
      </c>
      <c r="P26" s="6">
        <f t="shared" si="48"/>
        <v>0.50038049737308798</v>
      </c>
      <c r="Q26" s="6">
        <f t="shared" si="49"/>
        <v>2.5192560272517496E-3</v>
      </c>
      <c r="R26" s="6">
        <f t="shared" si="50"/>
        <v>6.7365260882283401E-3</v>
      </c>
      <c r="S26" s="6">
        <f t="shared" si="51"/>
        <v>1.5559692694701701E-3</v>
      </c>
      <c r="T26" s="6">
        <f t="shared" si="52"/>
        <v>0.36410971599958097</v>
      </c>
      <c r="V26" s="6">
        <f t="shared" si="53"/>
        <v>21.822156167416665</v>
      </c>
      <c r="W26" s="6">
        <f t="shared" si="54"/>
        <v>87.566587040290401</v>
      </c>
      <c r="X26" s="6">
        <f t="shared" si="55"/>
        <v>0.44086980476905618</v>
      </c>
      <c r="Y26" s="6">
        <f t="shared" si="56"/>
        <v>1.1788920654399595</v>
      </c>
      <c r="Z26" s="6">
        <f t="shared" si="57"/>
        <v>0.27229462215727979</v>
      </c>
      <c r="AA26" s="6">
        <f t="shared" si="58"/>
        <v>63.719200299926669</v>
      </c>
      <c r="AC26" s="14">
        <f t="shared" si="59"/>
        <v>0.71211554161038193</v>
      </c>
      <c r="AD26" s="17"/>
      <c r="AE26" s="15">
        <f t="shared" si="60"/>
        <v>0.15805473745622453</v>
      </c>
    </row>
    <row r="27" spans="2:45" x14ac:dyDescent="0.2">
      <c r="B27" s="6">
        <f t="shared" si="36"/>
        <v>12</v>
      </c>
      <c r="C27" s="6">
        <f t="shared" si="37"/>
        <v>0.57030435473847185</v>
      </c>
      <c r="D27" s="6">
        <f t="shared" si="38"/>
        <v>5.6768118246157204</v>
      </c>
      <c r="E27" s="6">
        <f t="shared" si="39"/>
        <v>0.39063448820425739</v>
      </c>
      <c r="F27" s="6">
        <f t="shared" si="40"/>
        <v>8.8856723338513632E-2</v>
      </c>
      <c r="H27" s="6">
        <f t="shared" si="41"/>
        <v>576.55446444779568</v>
      </c>
      <c r="I27" s="6">
        <f t="shared" si="42"/>
        <v>2314.2247629969447</v>
      </c>
      <c r="J27" s="6">
        <f t="shared" si="43"/>
        <v>12.052072539517692</v>
      </c>
      <c r="K27" s="6">
        <f t="shared" si="44"/>
        <v>31.260578431211332</v>
      </c>
      <c r="L27" s="6">
        <f t="shared" si="45"/>
        <v>7.6820069752103937</v>
      </c>
      <c r="M27" s="6">
        <f t="shared" si="46"/>
        <v>1684.9063640310915</v>
      </c>
      <c r="O27" s="6">
        <f t="shared" si="47"/>
        <v>0.12461515241297511</v>
      </c>
      <c r="P27" s="6">
        <f t="shared" si="48"/>
        <v>0.5001912036791758</v>
      </c>
      <c r="Q27" s="6">
        <f t="shared" si="49"/>
        <v>2.6049071666501967E-3</v>
      </c>
      <c r="R27" s="6">
        <f t="shared" si="50"/>
        <v>6.7565893353270286E-3</v>
      </c>
      <c r="S27" s="6">
        <f t="shared" si="51"/>
        <v>1.6603712729381869E-3</v>
      </c>
      <c r="T27" s="6">
        <f t="shared" si="52"/>
        <v>0.36417177613293378</v>
      </c>
      <c r="V27" s="6">
        <f t="shared" si="53"/>
        <v>21.807651672270644</v>
      </c>
      <c r="W27" s="6">
        <f t="shared" si="54"/>
        <v>87.533460643855761</v>
      </c>
      <c r="X27" s="6">
        <f t="shared" si="55"/>
        <v>0.45585875416378441</v>
      </c>
      <c r="Y27" s="6">
        <f t="shared" si="56"/>
        <v>1.18240313368223</v>
      </c>
      <c r="Z27" s="6">
        <f t="shared" si="57"/>
        <v>0.29056497276418269</v>
      </c>
      <c r="AA27" s="6">
        <f t="shared" si="58"/>
        <v>63.730060823263408</v>
      </c>
      <c r="AC27" s="14">
        <f t="shared" si="59"/>
        <v>0.68495792633986319</v>
      </c>
      <c r="AD27" s="17"/>
      <c r="AE27" s="15">
        <f t="shared" si="60"/>
        <v>0.15580579492376703</v>
      </c>
    </row>
    <row r="28" spans="2:45" x14ac:dyDescent="0.2">
      <c r="B28" s="6">
        <f t="shared" si="36"/>
        <v>13</v>
      </c>
      <c r="C28" s="6">
        <f t="shared" si="37"/>
        <v>0.58741348538062599</v>
      </c>
      <c r="D28" s="6">
        <f t="shared" si="38"/>
        <v>6.2471161793541921</v>
      </c>
      <c r="E28" s="6">
        <f t="shared" si="39"/>
        <v>0.38725412635451545</v>
      </c>
      <c r="F28" s="6">
        <f t="shared" si="40"/>
        <v>9.0238793293487884E-2</v>
      </c>
      <c r="H28" s="6">
        <f t="shared" si="41"/>
        <v>576.07497323625296</v>
      </c>
      <c r="I28" s="6">
        <f t="shared" si="42"/>
        <v>2312.9640028089934</v>
      </c>
      <c r="J28" s="6">
        <f t="shared" si="43"/>
        <v>12.44270702772195</v>
      </c>
      <c r="K28" s="6">
        <f t="shared" si="44"/>
        <v>31.349435154549845</v>
      </c>
      <c r="L28" s="6">
        <f t="shared" si="45"/>
        <v>8.1614981867531657</v>
      </c>
      <c r="M28" s="6">
        <f t="shared" si="46"/>
        <v>1684.9063640310915</v>
      </c>
      <c r="O28" s="6">
        <f t="shared" si="47"/>
        <v>0.12453254506236337</v>
      </c>
      <c r="P28" s="6">
        <f t="shared" si="48"/>
        <v>0.5000031372467002</v>
      </c>
      <c r="Q28" s="6">
        <f t="shared" si="49"/>
        <v>2.689792206946122E-3</v>
      </c>
      <c r="R28" s="6">
        <f t="shared" si="50"/>
        <v>6.7769389878746655E-3</v>
      </c>
      <c r="S28" s="6">
        <f t="shared" si="51"/>
        <v>1.7643053212475057E-3</v>
      </c>
      <c r="T28" s="6">
        <f t="shared" si="52"/>
        <v>0.36423328117486808</v>
      </c>
      <c r="V28" s="6">
        <f t="shared" si="53"/>
        <v>21.793195385913592</v>
      </c>
      <c r="W28" s="6">
        <f t="shared" si="54"/>
        <v>87.500549018172535</v>
      </c>
      <c r="X28" s="6">
        <f t="shared" si="55"/>
        <v>0.47071363621557133</v>
      </c>
      <c r="Y28" s="6">
        <f t="shared" si="56"/>
        <v>1.1859643228780665</v>
      </c>
      <c r="Z28" s="6">
        <f t="shared" si="57"/>
        <v>0.3087534312183135</v>
      </c>
      <c r="AA28" s="6">
        <f t="shared" si="58"/>
        <v>63.740824205601918</v>
      </c>
      <c r="AC28" s="14">
        <f t="shared" si="59"/>
        <v>0.65925304064748635</v>
      </c>
      <c r="AD28" s="17"/>
      <c r="AE28" s="15">
        <f t="shared" si="60"/>
        <v>0.15362056803141982</v>
      </c>
    </row>
    <row r="29" spans="2:45" x14ac:dyDescent="0.2">
      <c r="B29" s="6">
        <f t="shared" si="36"/>
        <v>14</v>
      </c>
      <c r="C29" s="6">
        <f t="shared" si="37"/>
        <v>0.60503588994204482</v>
      </c>
      <c r="D29" s="6">
        <f t="shared" si="38"/>
        <v>6.8345296647348182</v>
      </c>
      <c r="E29" s="6">
        <f t="shared" si="39"/>
        <v>0.38412989607278442</v>
      </c>
      <c r="F29" s="6">
        <f t="shared" si="40"/>
        <v>9.1659909385536156E-2</v>
      </c>
      <c r="H29" s="6">
        <f t="shared" si="41"/>
        <v>575.59748031660502</v>
      </c>
      <c r="I29" s="6">
        <f t="shared" si="42"/>
        <v>2311.7120016366366</v>
      </c>
      <c r="J29" s="6">
        <f t="shared" si="43"/>
        <v>12.829961154076464</v>
      </c>
      <c r="K29" s="6">
        <f t="shared" si="44"/>
        <v>31.439673947843332</v>
      </c>
      <c r="L29" s="6">
        <f t="shared" si="45"/>
        <v>8.6389911064011677</v>
      </c>
      <c r="M29" s="6">
        <f t="shared" si="46"/>
        <v>1684.9063640310915</v>
      </c>
      <c r="O29" s="6">
        <f t="shared" si="47"/>
        <v>0.12445015994212343</v>
      </c>
      <c r="P29" s="6">
        <f t="shared" si="48"/>
        <v>0.49981617046961607</v>
      </c>
      <c r="Q29" s="6">
        <f t="shared" si="49"/>
        <v>2.7739709993132586E-3</v>
      </c>
      <c r="R29" s="6">
        <f t="shared" si="50"/>
        <v>6.797584397320788E-3</v>
      </c>
      <c r="S29" s="6">
        <f t="shared" si="51"/>
        <v>1.8678396999563648E-3</v>
      </c>
      <c r="T29" s="6">
        <f t="shared" si="52"/>
        <v>0.36429427449167007</v>
      </c>
      <c r="V29" s="6">
        <f t="shared" si="53"/>
        <v>21.7787779898716</v>
      </c>
      <c r="W29" s="6">
        <f t="shared" si="54"/>
        <v>87.467829832182815</v>
      </c>
      <c r="X29" s="6">
        <f t="shared" si="55"/>
        <v>0.48544492487982027</v>
      </c>
      <c r="Y29" s="6">
        <f t="shared" si="56"/>
        <v>1.189577269531138</v>
      </c>
      <c r="Z29" s="6">
        <f t="shared" si="57"/>
        <v>0.32687194749236387</v>
      </c>
      <c r="AA29" s="6">
        <f t="shared" si="58"/>
        <v>63.751498036042264</v>
      </c>
      <c r="AC29" s="14">
        <f t="shared" si="59"/>
        <v>0.63488778510243327</v>
      </c>
      <c r="AD29" s="17"/>
      <c r="AE29" s="15">
        <f t="shared" si="60"/>
        <v>0.15149499543624773</v>
      </c>
    </row>
    <row r="30" spans="2:45" x14ac:dyDescent="0.2">
      <c r="B30" s="6">
        <f t="shared" si="36"/>
        <v>15</v>
      </c>
      <c r="C30" s="6">
        <f t="shared" si="37"/>
        <v>0.62318696664030615</v>
      </c>
      <c r="D30" s="6">
        <f t="shared" si="38"/>
        <v>7.4395655546768626</v>
      </c>
      <c r="E30" s="6">
        <f t="shared" si="39"/>
        <v>0.38124141926146504</v>
      </c>
      <c r="F30" s="6">
        <f t="shared" si="40"/>
        <v>9.3119954116372972E-2</v>
      </c>
      <c r="H30" s="6">
        <f t="shared" si="41"/>
        <v>575.12169051114677</v>
      </c>
      <c r="I30" s="6">
        <f t="shared" si="42"/>
        <v>2310.4679520390328</v>
      </c>
      <c r="J30" s="6">
        <f t="shared" si="43"/>
        <v>13.214091050149248</v>
      </c>
      <c r="K30" s="6">
        <f t="shared" si="44"/>
        <v>31.531333857228869</v>
      </c>
      <c r="L30" s="6">
        <f t="shared" si="45"/>
        <v>9.1147809118594871</v>
      </c>
      <c r="M30" s="6">
        <f t="shared" si="46"/>
        <v>1684.9063640310915</v>
      </c>
      <c r="O30" s="6">
        <f t="shared" si="47"/>
        <v>0.12436794747102764</v>
      </c>
      <c r="P30" s="6">
        <f t="shared" si="48"/>
        <v>0.49963018546092197</v>
      </c>
      <c r="Q30" s="6">
        <f t="shared" si="49"/>
        <v>2.8574985237328418E-3</v>
      </c>
      <c r="R30" s="6">
        <f t="shared" si="50"/>
        <v>6.818534820625533E-3</v>
      </c>
      <c r="S30" s="6">
        <f t="shared" si="51"/>
        <v>1.9710378035795806E-3</v>
      </c>
      <c r="T30" s="6">
        <f t="shared" si="52"/>
        <v>0.36435479592011244</v>
      </c>
      <c r="V30" s="6">
        <f t="shared" si="53"/>
        <v>21.764390807429837</v>
      </c>
      <c r="W30" s="6">
        <f t="shared" si="54"/>
        <v>87.435282455661351</v>
      </c>
      <c r="X30" s="6">
        <f t="shared" si="55"/>
        <v>0.50006224165324731</v>
      </c>
      <c r="Y30" s="6">
        <f t="shared" si="56"/>
        <v>1.1932435936094683</v>
      </c>
      <c r="Z30" s="6">
        <f t="shared" si="57"/>
        <v>0.3449316156264266</v>
      </c>
      <c r="AA30" s="6">
        <f t="shared" si="58"/>
        <v>63.76208928601968</v>
      </c>
      <c r="AC30" s="14">
        <f t="shared" si="59"/>
        <v>0.61176089948863077</v>
      </c>
      <c r="AD30" s="17"/>
      <c r="AE30" s="15">
        <f t="shared" si="60"/>
        <v>0.1494253877265703</v>
      </c>
    </row>
    <row r="31" spans="2:45" x14ac:dyDescent="0.2">
      <c r="B31" s="6">
        <f t="shared" si="36"/>
        <v>16</v>
      </c>
      <c r="C31" s="6">
        <f t="shared" si="37"/>
        <v>0.64188257563951534</v>
      </c>
      <c r="D31" s="6">
        <f t="shared" si="38"/>
        <v>8.0627525213171687</v>
      </c>
      <c r="E31" s="6">
        <f t="shared" si="39"/>
        <v>0.37857041994758273</v>
      </c>
      <c r="F31" s="6">
        <f t="shared" si="40"/>
        <v>9.4618873074681309E-2</v>
      </c>
      <c r="H31" s="6">
        <f t="shared" si="41"/>
        <v>574.64732913776902</v>
      </c>
      <c r="I31" s="6">
        <f t="shared" si="42"/>
        <v>2309.2311078271318</v>
      </c>
      <c r="J31" s="6">
        <f t="shared" si="43"/>
        <v>13.595332469410714</v>
      </c>
      <c r="K31" s="6">
        <f t="shared" si="44"/>
        <v>31.624453811345241</v>
      </c>
      <c r="L31" s="6">
        <f t="shared" si="45"/>
        <v>9.589142285237326</v>
      </c>
      <c r="M31" s="6">
        <f t="shared" si="46"/>
        <v>1684.9063640310915</v>
      </c>
      <c r="O31" s="6">
        <f t="shared" si="47"/>
        <v>0.12428586133414624</v>
      </c>
      <c r="P31" s="6">
        <f t="shared" si="48"/>
        <v>0.49944507300945229</v>
      </c>
      <c r="Q31" s="6">
        <f t="shared" si="49"/>
        <v>2.9404254059966165E-3</v>
      </c>
      <c r="R31" s="6">
        <f t="shared" si="50"/>
        <v>6.839799441968092E-3</v>
      </c>
      <c r="S31" s="6">
        <f t="shared" si="51"/>
        <v>2.0739586663782741E-3</v>
      </c>
      <c r="T31" s="6">
        <f t="shared" si="52"/>
        <v>0.36441488214205842</v>
      </c>
      <c r="V31" s="6">
        <f t="shared" si="53"/>
        <v>21.750025733475592</v>
      </c>
      <c r="W31" s="6">
        <f t="shared" si="54"/>
        <v>87.402887776654154</v>
      </c>
      <c r="X31" s="6">
        <f t="shared" si="55"/>
        <v>0.51457444604940794</v>
      </c>
      <c r="Y31" s="6">
        <f t="shared" si="56"/>
        <v>1.1969649023444162</v>
      </c>
      <c r="Z31" s="6">
        <f t="shared" si="57"/>
        <v>0.36294276661619795</v>
      </c>
      <c r="AA31" s="6">
        <f t="shared" si="58"/>
        <v>63.772604374860222</v>
      </c>
      <c r="AC31" s="14">
        <f t="shared" si="59"/>
        <v>0.58978142469502071</v>
      </c>
      <c r="AD31" s="17"/>
      <c r="AE31" s="15">
        <f t="shared" si="60"/>
        <v>0.14740838381601398</v>
      </c>
    </row>
    <row r="32" spans="2:45" x14ac:dyDescent="0.2">
      <c r="B32" s="6">
        <f t="shared" si="36"/>
        <v>17</v>
      </c>
      <c r="C32" s="6">
        <f t="shared" si="37"/>
        <v>0.66113905290870079</v>
      </c>
      <c r="D32" s="6">
        <f t="shared" si="38"/>
        <v>8.7046350969566841</v>
      </c>
      <c r="E32" s="6">
        <f t="shared" si="39"/>
        <v>0.37610045458487906</v>
      </c>
      <c r="F32" s="6">
        <f t="shared" si="40"/>
        <v>9.6156667807937218E-2</v>
      </c>
      <c r="H32" s="6">
        <f t="shared" si="41"/>
        <v>574.17413984474683</v>
      </c>
      <c r="I32" s="6">
        <f t="shared" si="42"/>
        <v>2308.0007776942148</v>
      </c>
      <c r="J32" s="6">
        <f t="shared" si="43"/>
        <v>13.973902889358296</v>
      </c>
      <c r="K32" s="6">
        <f t="shared" si="44"/>
        <v>31.71907268441992</v>
      </c>
      <c r="L32" s="6">
        <f t="shared" si="45"/>
        <v>10.06233157825959</v>
      </c>
      <c r="M32" s="6">
        <f t="shared" si="46"/>
        <v>1684.9063640310915</v>
      </c>
      <c r="O32" s="6">
        <f t="shared" si="47"/>
        <v>0.12420385813452862</v>
      </c>
      <c r="P32" s="6">
        <f t="shared" si="48"/>
        <v>0.49926073167388874</v>
      </c>
      <c r="Q32" s="6">
        <f t="shared" si="49"/>
        <v>3.0227983665806275E-3</v>
      </c>
      <c r="R32" s="6">
        <f t="shared" si="50"/>
        <v>6.8613873918455231E-3</v>
      </c>
      <c r="S32" s="6">
        <f t="shared" si="51"/>
        <v>2.176657423454624E-3</v>
      </c>
      <c r="T32" s="6">
        <f t="shared" si="52"/>
        <v>0.36447456700970193</v>
      </c>
      <c r="V32" s="6">
        <f t="shared" si="53"/>
        <v>21.735675173542511</v>
      </c>
      <c r="W32" s="6">
        <f t="shared" si="54"/>
        <v>87.370628042930534</v>
      </c>
      <c r="X32" s="6">
        <f t="shared" si="55"/>
        <v>0.52898971415160978</v>
      </c>
      <c r="Y32" s="6">
        <f t="shared" si="56"/>
        <v>1.2007427935729666</v>
      </c>
      <c r="Z32" s="6">
        <f t="shared" si="57"/>
        <v>0.3809150491045592</v>
      </c>
      <c r="AA32" s="6">
        <f t="shared" si="58"/>
        <v>63.783049226697841</v>
      </c>
      <c r="AC32" s="14">
        <f t="shared" si="59"/>
        <v>0.56886740078386533</v>
      </c>
      <c r="AD32" s="17"/>
      <c r="AE32" s="15">
        <f t="shared" si="60"/>
        <v>0.14544091350358615</v>
      </c>
    </row>
    <row r="33" spans="2:34" x14ac:dyDescent="0.2">
      <c r="B33" s="6">
        <f t="shared" si="36"/>
        <v>18</v>
      </c>
      <c r="C33" s="6">
        <f t="shared" si="37"/>
        <v>0.68097322449596187</v>
      </c>
      <c r="D33" s="6">
        <f t="shared" si="38"/>
        <v>9.3657741498653841</v>
      </c>
      <c r="E33" s="6">
        <f t="shared" si="39"/>
        <v>0.37381668307437738</v>
      </c>
      <c r="F33" s="6">
        <f t="shared" si="40"/>
        <v>9.7733389666998502E-2</v>
      </c>
      <c r="H33" s="6">
        <f t="shared" si="41"/>
        <v>573.70188272235407</v>
      </c>
      <c r="I33" s="6">
        <f t="shared" si="42"/>
        <v>2306.7763196626524</v>
      </c>
      <c r="J33" s="6">
        <f t="shared" si="43"/>
        <v>14.350003343943175</v>
      </c>
      <c r="K33" s="6">
        <f t="shared" si="44"/>
        <v>31.815229352227856</v>
      </c>
      <c r="L33" s="6">
        <f t="shared" si="45"/>
        <v>10.534588700652407</v>
      </c>
      <c r="M33" s="6">
        <f t="shared" si="46"/>
        <v>1684.9063640310915</v>
      </c>
      <c r="O33" s="6">
        <f t="shared" si="47"/>
        <v>0.1241218970893386</v>
      </c>
      <c r="P33" s="6">
        <f t="shared" si="48"/>
        <v>0.49907706699274978</v>
      </c>
      <c r="Q33" s="6">
        <f t="shared" si="49"/>
        <v>3.1046606119481328E-3</v>
      </c>
      <c r="R33" s="6">
        <f t="shared" si="50"/>
        <v>6.8833077639420146E-3</v>
      </c>
      <c r="S33" s="6">
        <f t="shared" si="51"/>
        <v>2.2791857129283535E-3</v>
      </c>
      <c r="T33" s="6">
        <f t="shared" si="52"/>
        <v>0.36453388182909302</v>
      </c>
      <c r="V33" s="6">
        <f t="shared" si="53"/>
        <v>21.721331990634255</v>
      </c>
      <c r="W33" s="6">
        <f t="shared" si="54"/>
        <v>87.338486723731208</v>
      </c>
      <c r="X33" s="6">
        <f t="shared" si="55"/>
        <v>0.54331560709092319</v>
      </c>
      <c r="Y33" s="6">
        <f t="shared" si="56"/>
        <v>1.2045788586898525</v>
      </c>
      <c r="Z33" s="6">
        <f t="shared" si="57"/>
        <v>0.39885749976246188</v>
      </c>
      <c r="AA33" s="6">
        <f t="shared" si="58"/>
        <v>63.793429320091278</v>
      </c>
      <c r="AC33" s="14">
        <f t="shared" si="59"/>
        <v>0.54894475968723511</v>
      </c>
      <c r="AD33" s="17"/>
      <c r="AE33" s="15">
        <f t="shared" si="60"/>
        <v>0.1435201651861395</v>
      </c>
      <c r="AH33" t="s">
        <v>77</v>
      </c>
    </row>
    <row r="34" spans="2:34" x14ac:dyDescent="0.2">
      <c r="B34" s="6">
        <f t="shared" si="36"/>
        <v>19</v>
      </c>
      <c r="C34" s="6">
        <f t="shared" si="37"/>
        <v>0.70140242123084073</v>
      </c>
      <c r="D34" s="6">
        <f t="shared" si="38"/>
        <v>10.046747374361345</v>
      </c>
      <c r="E34" s="6">
        <f t="shared" si="39"/>
        <v>0.37170567347527789</v>
      </c>
      <c r="F34" s="6">
        <f t="shared" si="40"/>
        <v>9.9349134461637997E-2</v>
      </c>
      <c r="H34" s="6">
        <f t="shared" si="41"/>
        <v>573.23033264961271</v>
      </c>
      <c r="I34" s="6">
        <f t="shared" si="42"/>
        <v>2305.557136223762</v>
      </c>
      <c r="J34" s="6">
        <f t="shared" si="43"/>
        <v>14.723820027017553</v>
      </c>
      <c r="K34" s="6">
        <f t="shared" si="44"/>
        <v>31.912962741894855</v>
      </c>
      <c r="L34" s="6">
        <f t="shared" si="45"/>
        <v>11.006138773393783</v>
      </c>
      <c r="M34" s="6">
        <f t="shared" si="46"/>
        <v>1684.9063640310915</v>
      </c>
      <c r="O34" s="6">
        <f t="shared" si="47"/>
        <v>0.12403993976375675</v>
      </c>
      <c r="P34" s="6">
        <f t="shared" si="48"/>
        <v>0.49889399079287916</v>
      </c>
      <c r="Q34" s="6">
        <f t="shared" si="49"/>
        <v>3.1860521769702037E-3</v>
      </c>
      <c r="R34" s="6">
        <f t="shared" si="50"/>
        <v>6.9055696300831925E-3</v>
      </c>
      <c r="S34" s="6">
        <f t="shared" si="51"/>
        <v>2.3815920280649068E-3</v>
      </c>
      <c r="T34" s="6">
        <f t="shared" si="52"/>
        <v>0.36459285560824584</v>
      </c>
      <c r="V34" s="6">
        <f t="shared" si="53"/>
        <v>21.706989458657432</v>
      </c>
      <c r="W34" s="6">
        <f t="shared" si="54"/>
        <v>87.30644838875385</v>
      </c>
      <c r="X34" s="6">
        <f t="shared" si="55"/>
        <v>0.5575591309697856</v>
      </c>
      <c r="Y34" s="6">
        <f t="shared" si="56"/>
        <v>1.2084746852645587</v>
      </c>
      <c r="Z34" s="6">
        <f t="shared" si="57"/>
        <v>0.41677860491135871</v>
      </c>
      <c r="AA34" s="6">
        <f t="shared" si="58"/>
        <v>63.80374973144302</v>
      </c>
      <c r="AC34" s="14">
        <f t="shared" si="59"/>
        <v>0.52994637917416698</v>
      </c>
      <c r="AD34" s="17"/>
      <c r="AE34" s="15">
        <f t="shared" si="60"/>
        <v>0.14164355789832794</v>
      </c>
    </row>
    <row r="35" spans="2:34" x14ac:dyDescent="0.2">
      <c r="B35" s="6">
        <f t="shared" si="36"/>
        <v>20</v>
      </c>
      <c r="C35" s="6">
        <f t="shared" si="37"/>
        <v>0.72244449386776599</v>
      </c>
      <c r="D35" s="6">
        <f t="shared" si="38"/>
        <v>10.748149795592186</v>
      </c>
      <c r="E35" s="6">
        <f t="shared" si="39"/>
        <v>0.36975523473642169</v>
      </c>
      <c r="F35" s="6">
        <f t="shared" si="40"/>
        <v>0.10100403779485922</v>
      </c>
      <c r="H35" s="6">
        <f t="shared" si="41"/>
        <v>572.75927784167584</v>
      </c>
      <c r="I35" s="6">
        <f t="shared" si="42"/>
        <v>2304.3426700688747</v>
      </c>
      <c r="J35" s="6">
        <f t="shared" si="43"/>
        <v>15.09552570049283</v>
      </c>
      <c r="K35" s="6">
        <f t="shared" si="44"/>
        <v>32.012311876356492</v>
      </c>
      <c r="L35" s="6">
        <f t="shared" si="45"/>
        <v>11.477193581330699</v>
      </c>
      <c r="M35" s="6">
        <f t="shared" si="46"/>
        <v>1684.9063640310915</v>
      </c>
      <c r="O35" s="6">
        <f t="shared" si="47"/>
        <v>0.12395794983711513</v>
      </c>
      <c r="P35" s="6">
        <f t="shared" si="48"/>
        <v>0.49871142058196316</v>
      </c>
      <c r="Q35" s="6">
        <f t="shared" si="49"/>
        <v>3.2670102256533314E-3</v>
      </c>
      <c r="R35" s="6">
        <f t="shared" si="50"/>
        <v>6.9281820535369515E-3</v>
      </c>
      <c r="S35" s="6">
        <f t="shared" si="51"/>
        <v>2.4839220266960308E-3</v>
      </c>
      <c r="T35" s="6">
        <f t="shared" si="52"/>
        <v>0.36465151527503536</v>
      </c>
      <c r="V35" s="6">
        <f t="shared" si="53"/>
        <v>21.692641221495148</v>
      </c>
      <c r="W35" s="6">
        <f t="shared" si="54"/>
        <v>87.274498601843547</v>
      </c>
      <c r="X35" s="6">
        <f t="shared" si="55"/>
        <v>0.57172678948933298</v>
      </c>
      <c r="Y35" s="6">
        <f t="shared" si="56"/>
        <v>1.2124318593689665</v>
      </c>
      <c r="Z35" s="6">
        <f t="shared" si="57"/>
        <v>0.43468635467180539</v>
      </c>
      <c r="AA35" s="6">
        <f t="shared" si="58"/>
        <v>63.814015173131189</v>
      </c>
      <c r="AC35" s="14">
        <f t="shared" si="59"/>
        <v>0.51181127114258351</v>
      </c>
      <c r="AD35" s="17"/>
      <c r="AE35" s="15">
        <f t="shared" si="60"/>
        <v>0.13980871700483427</v>
      </c>
    </row>
    <row r="36" spans="2:34" x14ac:dyDescent="0.2">
      <c r="B36" s="6">
        <f t="shared" si="36"/>
        <v>21</v>
      </c>
      <c r="C36" s="6">
        <f t="shared" si="37"/>
        <v>0.74411782868379894</v>
      </c>
      <c r="D36" s="6">
        <f t="shared" si="38"/>
        <v>11.470594289459951</v>
      </c>
      <c r="E36" s="6">
        <f t="shared" si="39"/>
        <v>0.36795427284770016</v>
      </c>
      <c r="F36" s="6">
        <f t="shared" si="40"/>
        <v>0.1026982709674306</v>
      </c>
      <c r="H36" s="6">
        <f t="shared" si="41"/>
        <v>572.28851856914457</v>
      </c>
      <c r="I36" s="6">
        <f t="shared" si="42"/>
        <v>2303.1324003268705</v>
      </c>
      <c r="J36" s="6">
        <f t="shared" si="43"/>
        <v>15.465280935229252</v>
      </c>
      <c r="K36" s="6">
        <f t="shared" si="44"/>
        <v>32.11331591415135</v>
      </c>
      <c r="L36" s="6">
        <f t="shared" si="45"/>
        <v>11.947952853861979</v>
      </c>
      <c r="M36" s="6">
        <f t="shared" si="46"/>
        <v>1684.9063640310915</v>
      </c>
      <c r="O36" s="6">
        <f t="shared" si="47"/>
        <v>0.12387589289666071</v>
      </c>
      <c r="P36" s="6">
        <f t="shared" si="48"/>
        <v>0.49852927901304717</v>
      </c>
      <c r="Q36" s="6">
        <f t="shared" si="49"/>
        <v>3.3475693161538786E-3</v>
      </c>
      <c r="R36" s="6">
        <f t="shared" si="50"/>
        <v>6.9511541008792895E-3</v>
      </c>
      <c r="S36" s="6">
        <f t="shared" si="51"/>
        <v>2.5862188040393741E-3</v>
      </c>
      <c r="T36" s="6">
        <f t="shared" si="52"/>
        <v>0.36470988586921965</v>
      </c>
      <c r="V36" s="6">
        <f t="shared" si="53"/>
        <v>21.678281256915625</v>
      </c>
      <c r="W36" s="6">
        <f t="shared" si="54"/>
        <v>87.242623827283253</v>
      </c>
      <c r="X36" s="6">
        <f t="shared" si="55"/>
        <v>0.58582463032692877</v>
      </c>
      <c r="Y36" s="6">
        <f t="shared" si="56"/>
        <v>1.2164519676538756</v>
      </c>
      <c r="Z36" s="6">
        <f t="shared" si="57"/>
        <v>0.45258829070689044</v>
      </c>
      <c r="AA36" s="6">
        <f t="shared" si="58"/>
        <v>63.824230027113437</v>
      </c>
      <c r="AC36" s="14">
        <f t="shared" si="59"/>
        <v>0.49448388234231716</v>
      </c>
      <c r="AD36" s="17"/>
      <c r="AE36" s="15">
        <f t="shared" si="60"/>
        <v>0.13801345298913756</v>
      </c>
    </row>
    <row r="37" spans="2:34" x14ac:dyDescent="0.2">
      <c r="B37" s="6">
        <f t="shared" si="36"/>
        <v>22</v>
      </c>
      <c r="C37" s="6">
        <f t="shared" si="37"/>
        <v>0.76644136354431291</v>
      </c>
      <c r="D37" s="6">
        <f t="shared" si="38"/>
        <v>12.214712118143749</v>
      </c>
      <c r="E37" s="6">
        <f t="shared" si="39"/>
        <v>0.36629266665763122</v>
      </c>
      <c r="F37" s="6">
        <f t="shared" si="40"/>
        <v>0.10443203736295914</v>
      </c>
      <c r="H37" s="6">
        <f t="shared" si="41"/>
        <v>571.81786602532952</v>
      </c>
      <c r="I37" s="6">
        <f t="shared" si="42"/>
        <v>2301.9258392373604</v>
      </c>
      <c r="J37" s="6">
        <f t="shared" si="43"/>
        <v>15.833235208076953</v>
      </c>
      <c r="K37" s="6">
        <f t="shared" si="44"/>
        <v>32.21601418511878</v>
      </c>
      <c r="L37" s="6">
        <f t="shared" si="45"/>
        <v>12.41860539767711</v>
      </c>
      <c r="M37" s="6">
        <f t="shared" si="46"/>
        <v>1684.9063640310915</v>
      </c>
      <c r="O37" s="6">
        <f t="shared" si="47"/>
        <v>0.12379373625509758</v>
      </c>
      <c r="P37" s="6">
        <f t="shared" si="48"/>
        <v>0.49834749341098944</v>
      </c>
      <c r="Q37" s="6">
        <f t="shared" si="49"/>
        <v>3.4277616350776629E-3</v>
      </c>
      <c r="R37" s="6">
        <f t="shared" si="50"/>
        <v>6.9744948526082188E-3</v>
      </c>
      <c r="S37" s="6">
        <f t="shared" si="51"/>
        <v>2.6885231340219658E-3</v>
      </c>
      <c r="T37" s="6">
        <f t="shared" si="52"/>
        <v>0.36476799071220517</v>
      </c>
      <c r="V37" s="6">
        <f t="shared" si="53"/>
        <v>21.663903844642078</v>
      </c>
      <c r="W37" s="6">
        <f t="shared" si="54"/>
        <v>87.210811346923151</v>
      </c>
      <c r="X37" s="6">
        <f t="shared" si="55"/>
        <v>0.59985828613859105</v>
      </c>
      <c r="Y37" s="6">
        <f t="shared" si="56"/>
        <v>1.2205365992064383</v>
      </c>
      <c r="Z37" s="6">
        <f t="shared" si="57"/>
        <v>0.470491548453844</v>
      </c>
      <c r="AA37" s="6">
        <f t="shared" si="58"/>
        <v>63.834398374635903</v>
      </c>
      <c r="AC37" s="14">
        <f t="shared" si="59"/>
        <v>0.47791348964225555</v>
      </c>
      <c r="AD37" s="17"/>
      <c r="AE37" s="15">
        <f t="shared" si="60"/>
        <v>0.13625574287904577</v>
      </c>
    </row>
    <row r="38" spans="2:34" x14ac:dyDescent="0.2">
      <c r="B38" s="6">
        <f t="shared" si="36"/>
        <v>23</v>
      </c>
      <c r="C38" s="6">
        <f t="shared" si="37"/>
        <v>0.78943460445064229</v>
      </c>
      <c r="D38" s="6">
        <f t="shared" si="38"/>
        <v>12.981153481688063</v>
      </c>
      <c r="E38" s="6">
        <f t="shared" si="39"/>
        <v>0.36476116027825151</v>
      </c>
      <c r="F38" s="6">
        <f t="shared" si="40"/>
        <v>0.10620556923902912</v>
      </c>
      <c r="H38" s="6">
        <f t="shared" si="41"/>
        <v>571.34714132130898</v>
      </c>
      <c r="I38" s="6">
        <f t="shared" si="42"/>
        <v>2300.7225292000244</v>
      </c>
      <c r="J38" s="6">
        <f t="shared" si="43"/>
        <v>16.199527874734585</v>
      </c>
      <c r="K38" s="6">
        <f t="shared" si="44"/>
        <v>32.320446222481742</v>
      </c>
      <c r="L38" s="6">
        <f t="shared" si="45"/>
        <v>12.889330101697702</v>
      </c>
      <c r="M38" s="6">
        <f t="shared" si="46"/>
        <v>1684.9063640310915</v>
      </c>
      <c r="O38" s="6">
        <f t="shared" si="47"/>
        <v>0.12371144878867614</v>
      </c>
      <c r="P38" s="6">
        <f t="shared" si="48"/>
        <v>0.49816599535240702</v>
      </c>
      <c r="Q38" s="6">
        <f t="shared" si="49"/>
        <v>3.5076172052621339E-3</v>
      </c>
      <c r="R38" s="6">
        <f t="shared" si="50"/>
        <v>6.9982134126599614E-3</v>
      </c>
      <c r="S38" s="6">
        <f t="shared" si="51"/>
        <v>2.7908736833948456E-3</v>
      </c>
      <c r="T38" s="6">
        <f t="shared" si="52"/>
        <v>0.36482585155759983</v>
      </c>
      <c r="V38" s="6">
        <f t="shared" si="53"/>
        <v>21.649503538018326</v>
      </c>
      <c r="W38" s="6">
        <f t="shared" si="54"/>
        <v>87.179049186671222</v>
      </c>
      <c r="X38" s="6">
        <f t="shared" si="55"/>
        <v>0.61383301092087339</v>
      </c>
      <c r="Y38" s="6">
        <f t="shared" si="56"/>
        <v>1.2246873472154933</v>
      </c>
      <c r="Z38" s="6">
        <f t="shared" si="57"/>
        <v>0.48840289459409797</v>
      </c>
      <c r="AA38" s="6">
        <f t="shared" si="58"/>
        <v>63.844524022579968</v>
      </c>
      <c r="AC38" s="14">
        <f t="shared" si="59"/>
        <v>0.46205367515157797</v>
      </c>
      <c r="AD38" s="17"/>
      <c r="AE38" s="15">
        <f t="shared" si="60"/>
        <v>0.13453371392673652</v>
      </c>
    </row>
    <row r="39" spans="2:34" x14ac:dyDescent="0.2">
      <c r="B39" s="6">
        <f t="shared" si="36"/>
        <v>24</v>
      </c>
      <c r="C39" s="6">
        <f t="shared" si="37"/>
        <v>0.81311764258416153</v>
      </c>
      <c r="D39" s="6">
        <f t="shared" si="38"/>
        <v>13.770588086138705</v>
      </c>
      <c r="E39" s="6">
        <f t="shared" si="39"/>
        <v>0.3633512695394634</v>
      </c>
      <c r="F39" s="6">
        <f t="shared" si="40"/>
        <v>0.10801912486223593</v>
      </c>
      <c r="H39" s="6">
        <f t="shared" si="41"/>
        <v>570.87617459179171</v>
      </c>
      <c r="I39" s="6">
        <f t="shared" si="42"/>
        <v>2299.5220401499505</v>
      </c>
      <c r="J39" s="6">
        <f t="shared" si="43"/>
        <v>16.564289035012838</v>
      </c>
      <c r="K39" s="6">
        <f t="shared" si="44"/>
        <v>32.426651791720772</v>
      </c>
      <c r="L39" s="6">
        <f t="shared" si="45"/>
        <v>13.360296831214981</v>
      </c>
      <c r="M39" s="6">
        <f t="shared" si="46"/>
        <v>1684.9063640310915</v>
      </c>
      <c r="O39" s="6">
        <f t="shared" si="47"/>
        <v>0.12362900079310166</v>
      </c>
      <c r="P39" s="6">
        <f t="shared" si="48"/>
        <v>0.49798472029198709</v>
      </c>
      <c r="Q39" s="6">
        <f t="shared" si="49"/>
        <v>3.5871640705816411E-3</v>
      </c>
      <c r="R39" s="6">
        <f t="shared" si="50"/>
        <v>7.022318916957513E-3</v>
      </c>
      <c r="S39" s="6">
        <f t="shared" si="51"/>
        <v>2.8933072022552394E-3</v>
      </c>
      <c r="T39" s="6">
        <f t="shared" si="52"/>
        <v>0.36488348872511678</v>
      </c>
      <c r="V39" s="6">
        <f t="shared" si="53"/>
        <v>21.635075138792789</v>
      </c>
      <c r="W39" s="6">
        <f t="shared" si="54"/>
        <v>87.147326051097735</v>
      </c>
      <c r="X39" s="6">
        <f t="shared" si="55"/>
        <v>0.62775371235178723</v>
      </c>
      <c r="Y39" s="6">
        <f t="shared" si="56"/>
        <v>1.2289058104675648</v>
      </c>
      <c r="Z39" s="6">
        <f t="shared" si="57"/>
        <v>0.5063287603946669</v>
      </c>
      <c r="AA39" s="6">
        <f t="shared" si="58"/>
        <v>63.854610526895435</v>
      </c>
      <c r="AC39" s="14">
        <f t="shared" si="59"/>
        <v>0.44686186907063058</v>
      </c>
      <c r="AD39" s="17"/>
      <c r="AE39" s="15">
        <f t="shared" si="60"/>
        <v>0.13284562922400917</v>
      </c>
    </row>
    <row r="40" spans="2:34" x14ac:dyDescent="0.2">
      <c r="B40" s="6">
        <f t="shared" si="36"/>
        <v>25</v>
      </c>
      <c r="C40" s="6">
        <f t="shared" si="37"/>
        <v>0.83751117186168644</v>
      </c>
      <c r="D40" s="6">
        <f t="shared" si="38"/>
        <v>14.583705728722867</v>
      </c>
      <c r="E40" s="6">
        <f t="shared" si="39"/>
        <v>0.36205520039103439</v>
      </c>
      <c r="F40" s="6">
        <f t="shared" si="40"/>
        <v>0.10987298593495513</v>
      </c>
      <c r="H40" s="6">
        <f t="shared" si="41"/>
        <v>570.40480419739004</v>
      </c>
      <c r="I40" s="6">
        <f t="shared" si="42"/>
        <v>2298.32396721647</v>
      </c>
      <c r="J40" s="6">
        <f t="shared" si="43"/>
        <v>16.927640304552302</v>
      </c>
      <c r="K40" s="6">
        <f t="shared" si="44"/>
        <v>32.534670916583011</v>
      </c>
      <c r="L40" s="6">
        <f t="shared" si="45"/>
        <v>13.831667225616682</v>
      </c>
      <c r="M40" s="6">
        <f t="shared" si="46"/>
        <v>1684.9063640310915</v>
      </c>
      <c r="O40" s="6">
        <f t="shared" si="47"/>
        <v>0.12354636385495298</v>
      </c>
      <c r="P40" s="6">
        <f t="shared" si="48"/>
        <v>0.4978036072291277</v>
      </c>
      <c r="Q40" s="6">
        <f t="shared" si="49"/>
        <v>3.6664284607747961E-3</v>
      </c>
      <c r="R40" s="6">
        <f t="shared" si="50"/>
        <v>7.0468205411018054E-3</v>
      </c>
      <c r="S40" s="6">
        <f t="shared" si="51"/>
        <v>2.99585869403953E-3</v>
      </c>
      <c r="T40" s="6">
        <f t="shared" si="52"/>
        <v>0.36494092122000327</v>
      </c>
      <c r="V40" s="6">
        <f t="shared" si="53"/>
        <v>21.62061367461677</v>
      </c>
      <c r="W40" s="6">
        <f t="shared" si="54"/>
        <v>87.115631265097349</v>
      </c>
      <c r="X40" s="6">
        <f t="shared" si="55"/>
        <v>0.64162498063558937</v>
      </c>
      <c r="Y40" s="6">
        <f t="shared" si="56"/>
        <v>1.2331935946928159</v>
      </c>
      <c r="Z40" s="6">
        <f t="shared" si="57"/>
        <v>0.52427527145691777</v>
      </c>
      <c r="AA40" s="6">
        <f t="shared" si="58"/>
        <v>63.864661213500568</v>
      </c>
      <c r="AC40" s="14">
        <f t="shared" si="59"/>
        <v>0.43229895021726017</v>
      </c>
      <c r="AD40" s="17"/>
      <c r="AE40" s="15">
        <f t="shared" si="60"/>
        <v>0.13118987498485629</v>
      </c>
    </row>
    <row r="41" spans="2:34" x14ac:dyDescent="0.2">
      <c r="B41" s="6">
        <f t="shared" si="36"/>
        <v>26</v>
      </c>
      <c r="C41" s="6">
        <f t="shared" si="37"/>
        <v>0.86263650701753702</v>
      </c>
      <c r="D41" s="6">
        <f t="shared" si="38"/>
        <v>15.421216900584554</v>
      </c>
      <c r="E41" s="6">
        <f t="shared" si="39"/>
        <v>0.36086577750371407</v>
      </c>
      <c r="F41" s="6">
        <f t="shared" si="40"/>
        <v>0.1117674552698661</v>
      </c>
      <c r="H41" s="6">
        <f t="shared" si="41"/>
        <v>569.93287601106397</v>
      </c>
      <c r="I41" s="6">
        <f t="shared" si="42"/>
        <v>2297.127928629362</v>
      </c>
      <c r="J41" s="6">
        <f t="shared" si="43"/>
        <v>17.289695504943335</v>
      </c>
      <c r="K41" s="6">
        <f t="shared" si="44"/>
        <v>32.644543902517967</v>
      </c>
      <c r="L41" s="6">
        <f t="shared" si="45"/>
        <v>14.303595411942672</v>
      </c>
      <c r="M41" s="6">
        <f t="shared" si="46"/>
        <v>1684.9063640310915</v>
      </c>
      <c r="O41" s="6">
        <f t="shared" si="47"/>
        <v>0.1234635107366468</v>
      </c>
      <c r="P41" s="6">
        <f t="shared" si="48"/>
        <v>0.49762259840977618</v>
      </c>
      <c r="Q41" s="6">
        <f t="shared" si="49"/>
        <v>3.745434938844423E-3</v>
      </c>
      <c r="R41" s="6">
        <f t="shared" si="50"/>
        <v>7.0717275072989883E-3</v>
      </c>
      <c r="S41" s="6">
        <f t="shared" si="51"/>
        <v>3.0985615675919588E-3</v>
      </c>
      <c r="T41" s="6">
        <f t="shared" si="52"/>
        <v>0.36499816683984176</v>
      </c>
      <c r="V41" s="6">
        <f t="shared" si="53"/>
        <v>21.60611437891319</v>
      </c>
      <c r="W41" s="6">
        <f t="shared" si="54"/>
        <v>87.083954721710839</v>
      </c>
      <c r="X41" s="6">
        <f t="shared" si="55"/>
        <v>0.65545111429777403</v>
      </c>
      <c r="Y41" s="6">
        <f t="shared" si="56"/>
        <v>1.237552313777323</v>
      </c>
      <c r="Z41" s="6">
        <f t="shared" si="57"/>
        <v>0.54224827432859279</v>
      </c>
      <c r="AA41" s="6">
        <f t="shared" si="58"/>
        <v>63.874679196972309</v>
      </c>
      <c r="AC41" s="14">
        <f t="shared" si="59"/>
        <v>0.41832889585367133</v>
      </c>
      <c r="AD41" s="17"/>
      <c r="AE41" s="15">
        <f t="shared" si="60"/>
        <v>0.12956494926963938</v>
      </c>
    </row>
    <row r="42" spans="2:34" x14ac:dyDescent="0.2">
      <c r="B42" s="6">
        <f t="shared" si="36"/>
        <v>27</v>
      </c>
      <c r="C42" s="6">
        <f t="shared" si="37"/>
        <v>0.88851560222806314</v>
      </c>
      <c r="D42" s="6">
        <f t="shared" si="38"/>
        <v>16.283853407602091</v>
      </c>
      <c r="E42" s="6">
        <f t="shared" si="39"/>
        <v>0.35977638160862013</v>
      </c>
      <c r="F42" s="6">
        <f t="shared" si="40"/>
        <v>0.11370285467497011</v>
      </c>
      <c r="H42" s="6">
        <f t="shared" si="41"/>
        <v>569.46024277829042</v>
      </c>
      <c r="I42" s="6">
        <f t="shared" si="42"/>
        <v>2295.933563841581</v>
      </c>
      <c r="J42" s="6">
        <f t="shared" si="43"/>
        <v>17.65056128244705</v>
      </c>
      <c r="K42" s="6">
        <f t="shared" si="44"/>
        <v>32.75631135778783</v>
      </c>
      <c r="L42" s="6">
        <f t="shared" si="45"/>
        <v>14.776228644716252</v>
      </c>
      <c r="M42" s="6">
        <f t="shared" si="46"/>
        <v>1684.9063640310915</v>
      </c>
      <c r="O42" s="6">
        <f t="shared" si="47"/>
        <v>0.12338041527327137</v>
      </c>
      <c r="P42" s="6">
        <f t="shared" si="48"/>
        <v>0.49744163905908306</v>
      </c>
      <c r="Q42" s="6">
        <f t="shared" si="49"/>
        <v>3.8242065332074562E-3</v>
      </c>
      <c r="R42" s="6">
        <f t="shared" si="50"/>
        <v>7.0970490906033653E-3</v>
      </c>
      <c r="S42" s="6">
        <f t="shared" si="51"/>
        <v>3.2014477735326126E-3</v>
      </c>
      <c r="T42" s="6">
        <f t="shared" si="52"/>
        <v>0.36505524227030201</v>
      </c>
      <c r="V42" s="6">
        <f t="shared" si="53"/>
        <v>21.59157267282249</v>
      </c>
      <c r="W42" s="6">
        <f t="shared" si="54"/>
        <v>87.05228683533953</v>
      </c>
      <c r="X42" s="6">
        <f t="shared" si="55"/>
        <v>0.66923614331130488</v>
      </c>
      <c r="Y42" s="6">
        <f t="shared" si="56"/>
        <v>1.241983590855589</v>
      </c>
      <c r="Z42" s="6">
        <f t="shared" si="57"/>
        <v>0.56025336036820717</v>
      </c>
      <c r="AA42" s="6">
        <f t="shared" si="58"/>
        <v>63.884667397302849</v>
      </c>
      <c r="AC42" s="14">
        <f t="shared" si="59"/>
        <v>0.40491847380781631</v>
      </c>
      <c r="AD42" s="17"/>
      <c r="AE42" s="15">
        <f t="shared" si="60"/>
        <v>0.12796945195992743</v>
      </c>
    </row>
    <row r="43" spans="2:34" x14ac:dyDescent="0.2">
      <c r="B43" s="6">
        <f t="shared" si="36"/>
        <v>28</v>
      </c>
      <c r="C43" s="6">
        <f t="shared" si="37"/>
        <v>0.91517107029490508</v>
      </c>
      <c r="D43" s="6">
        <f t="shared" si="38"/>
        <v>17.172369009830156</v>
      </c>
      <c r="E43" s="6">
        <f t="shared" si="39"/>
        <v>0.35878089434938459</v>
      </c>
      <c r="F43" s="6">
        <f t="shared" si="40"/>
        <v>0.11567952301737877</v>
      </c>
      <c r="H43" s="6">
        <f t="shared" si="41"/>
        <v>568.98676354200677</v>
      </c>
      <c r="I43" s="6">
        <f t="shared" si="42"/>
        <v>2294.7405318420801</v>
      </c>
      <c r="J43" s="6">
        <f t="shared" si="43"/>
        <v>18.010337664055669</v>
      </c>
      <c r="K43" s="6">
        <f t="shared" si="44"/>
        <v>32.870014212462799</v>
      </c>
      <c r="L43" s="6">
        <f t="shared" si="45"/>
        <v>15.249707880999843</v>
      </c>
      <c r="M43" s="6">
        <f t="shared" si="46"/>
        <v>1684.9063640310915</v>
      </c>
      <c r="O43" s="6">
        <f t="shared" si="47"/>
        <v>0.12329705227985341</v>
      </c>
      <c r="P43" s="6">
        <f t="shared" si="48"/>
        <v>0.49726067714111816</v>
      </c>
      <c r="Q43" s="6">
        <f t="shared" si="49"/>
        <v>3.9027648564603948E-3</v>
      </c>
      <c r="R43" s="6">
        <f t="shared" si="50"/>
        <v>7.1227946245437474E-3</v>
      </c>
      <c r="S43" s="6">
        <f t="shared" si="51"/>
        <v>3.304547926829438E-3</v>
      </c>
      <c r="T43" s="6">
        <f t="shared" si="52"/>
        <v>0.36511216317119477</v>
      </c>
      <c r="V43" s="6">
        <f t="shared" si="53"/>
        <v>21.576984148974347</v>
      </c>
      <c r="W43" s="6">
        <f t="shared" si="54"/>
        <v>87.020618499695672</v>
      </c>
      <c r="X43" s="6">
        <f t="shared" si="55"/>
        <v>0.68298384988056904</v>
      </c>
      <c r="Y43" s="6">
        <f t="shared" si="56"/>
        <v>1.2464890592951559</v>
      </c>
      <c r="Z43" s="6">
        <f t="shared" si="57"/>
        <v>0.57829588719515168</v>
      </c>
      <c r="AA43" s="6">
        <f t="shared" si="58"/>
        <v>63.894628554959084</v>
      </c>
      <c r="AC43" s="14">
        <f t="shared" si="59"/>
        <v>0.39203697100452584</v>
      </c>
      <c r="AD43" s="17"/>
      <c r="AE43" s="15">
        <f t="shared" si="60"/>
        <v>0.12640207582184843</v>
      </c>
    </row>
    <row r="44" spans="2:34" x14ac:dyDescent="0.2">
      <c r="B44" s="6">
        <f t="shared" si="36"/>
        <v>29</v>
      </c>
      <c r="C44" s="6">
        <f t="shared" si="37"/>
        <v>0.94262620240375228</v>
      </c>
      <c r="D44" s="6">
        <f t="shared" si="38"/>
        <v>18.087540080125063</v>
      </c>
      <c r="E44" s="6">
        <f t="shared" si="39"/>
        <v>0.35787364961496476</v>
      </c>
      <c r="F44" s="6">
        <f t="shared" si="40"/>
        <v>0.11769781443873603</v>
      </c>
      <c r="H44" s="6">
        <f t="shared" si="41"/>
        <v>568.51230312463997</v>
      </c>
      <c r="I44" s="6">
        <f t="shared" si="42"/>
        <v>2293.5485096360148</v>
      </c>
      <c r="J44" s="6">
        <f t="shared" si="43"/>
        <v>18.369118558405052</v>
      </c>
      <c r="K44" s="6">
        <f t="shared" si="44"/>
        <v>32.985693735480176</v>
      </c>
      <c r="L44" s="6">
        <f t="shared" si="45"/>
        <v>15.724168298366607</v>
      </c>
      <c r="M44" s="6">
        <f t="shared" si="46"/>
        <v>1684.9063640310915</v>
      </c>
      <c r="O44" s="6">
        <f t="shared" si="47"/>
        <v>0.12321339746782387</v>
      </c>
      <c r="P44" s="6">
        <f t="shared" si="48"/>
        <v>0.49707966314241991</v>
      </c>
      <c r="Q44" s="6">
        <f t="shared" si="49"/>
        <v>3.981130212364346E-3</v>
      </c>
      <c r="R44" s="6">
        <f t="shared" si="50"/>
        <v>7.1489735061909098E-3</v>
      </c>
      <c r="S44" s="6">
        <f t="shared" si="51"/>
        <v>3.4078914172114951E-3</v>
      </c>
      <c r="T44" s="6">
        <f t="shared" si="52"/>
        <v>0.36516894425398944</v>
      </c>
      <c r="V44" s="6">
        <f t="shared" si="53"/>
        <v>21.562344556869178</v>
      </c>
      <c r="W44" s="6">
        <f t="shared" si="54"/>
        <v>86.988941049923483</v>
      </c>
      <c r="X44" s="6">
        <f t="shared" si="55"/>
        <v>0.69669778716376052</v>
      </c>
      <c r="Y44" s="6">
        <f t="shared" si="56"/>
        <v>1.2510703635834093</v>
      </c>
      <c r="Z44" s="6">
        <f t="shared" si="57"/>
        <v>0.59638099801201161</v>
      </c>
      <c r="AA44" s="6">
        <f t="shared" si="58"/>
        <v>63.90456524444815</v>
      </c>
      <c r="AC44" s="14">
        <f t="shared" si="59"/>
        <v>0.3796559534440756</v>
      </c>
      <c r="AD44" s="17"/>
      <c r="AE44" s="15">
        <f t="shared" si="60"/>
        <v>0.12486159851975225</v>
      </c>
    </row>
    <row r="45" spans="2:34" x14ac:dyDescent="0.2">
      <c r="B45" s="6">
        <f t="shared" si="36"/>
        <v>30</v>
      </c>
      <c r="C45" s="6">
        <f t="shared" si="37"/>
        <v>0.97090498847586482</v>
      </c>
      <c r="D45" s="6">
        <f t="shared" si="38"/>
        <v>19.030166282528814</v>
      </c>
      <c r="E45" s="6">
        <f t="shared" si="39"/>
        <v>0.35704939048067941</v>
      </c>
      <c r="F45" s="6">
        <f t="shared" si="40"/>
        <v>0.11975809669894737</v>
      </c>
      <c r="H45" s="6">
        <f t="shared" si="41"/>
        <v>568.03673166058627</v>
      </c>
      <c r="I45" s="6">
        <f t="shared" si="42"/>
        <v>2292.3571908727313</v>
      </c>
      <c r="J45" s="6">
        <f t="shared" si="43"/>
        <v>18.726992208020018</v>
      </c>
      <c r="K45" s="6">
        <f t="shared" si="44"/>
        <v>33.103391549918911</v>
      </c>
      <c r="L45" s="6">
        <f t="shared" si="45"/>
        <v>16.199739762420307</v>
      </c>
      <c r="M45" s="6">
        <f t="shared" si="46"/>
        <v>1684.9063640310915</v>
      </c>
      <c r="O45" s="6">
        <f t="shared" si="47"/>
        <v>0.12312942736961882</v>
      </c>
      <c r="P45" s="6">
        <f t="shared" si="48"/>
        <v>0.49689854987659776</v>
      </c>
      <c r="Q45" s="6">
        <f t="shared" si="49"/>
        <v>4.0593216924334537E-3</v>
      </c>
      <c r="R45" s="6">
        <f t="shared" si="50"/>
        <v>7.175595200715452E-3</v>
      </c>
      <c r="S45" s="6">
        <f t="shared" si="51"/>
        <v>3.511506508835261E-3</v>
      </c>
      <c r="T45" s="6">
        <f t="shared" si="52"/>
        <v>0.36522559935179932</v>
      </c>
      <c r="V45" s="6">
        <f t="shared" si="53"/>
        <v>21.547649789683295</v>
      </c>
      <c r="W45" s="6">
        <f t="shared" si="54"/>
        <v>86.957246228404614</v>
      </c>
      <c r="X45" s="6">
        <f t="shared" si="55"/>
        <v>0.71038129617585444</v>
      </c>
      <c r="Y45" s="6">
        <f t="shared" si="56"/>
        <v>1.2557291601252041</v>
      </c>
      <c r="Z45" s="6">
        <f t="shared" si="57"/>
        <v>0.61451363904617062</v>
      </c>
      <c r="AA45" s="6">
        <f t="shared" si="58"/>
        <v>63.914479886564884</v>
      </c>
      <c r="AC45" s="14">
        <f t="shared" si="59"/>
        <v>0.36774905342816155</v>
      </c>
      <c r="AD45" s="17"/>
      <c r="AE45" s="15">
        <f t="shared" si="60"/>
        <v>0.12334687546197974</v>
      </c>
    </row>
    <row r="46" spans="2:34" x14ac:dyDescent="0.2">
      <c r="B46" s="6">
        <f t="shared" si="36"/>
        <v>31</v>
      </c>
      <c r="C46" s="6">
        <f t="shared" si="37"/>
        <v>1.0000321381301407</v>
      </c>
      <c r="D46" s="6">
        <f t="shared" si="38"/>
        <v>20.00107127100468</v>
      </c>
      <c r="E46" s="6">
        <f t="shared" si="39"/>
        <v>0.35630323101733524</v>
      </c>
      <c r="F46" s="6">
        <f t="shared" si="40"/>
        <v>0.12186074962806656</v>
      </c>
      <c r="H46" s="6">
        <f t="shared" si="41"/>
        <v>567.55992417340656</v>
      </c>
      <c r="I46" s="6">
        <f t="shared" si="42"/>
        <v>2291.1662846045901</v>
      </c>
      <c r="J46" s="6">
        <f t="shared" si="43"/>
        <v>19.084041598500697</v>
      </c>
      <c r="K46" s="6">
        <f t="shared" si="44"/>
        <v>33.223149646617856</v>
      </c>
      <c r="L46" s="6">
        <f t="shared" si="45"/>
        <v>16.676547249599935</v>
      </c>
      <c r="M46" s="6">
        <f t="shared" si="46"/>
        <v>1684.9063640310915</v>
      </c>
      <c r="O46" s="6">
        <f t="shared" si="47"/>
        <v>0.12304511927049476</v>
      </c>
      <c r="P46" s="6">
        <f t="shared" si="48"/>
        <v>0.49671729230757683</v>
      </c>
      <c r="Q46" s="6">
        <f t="shared" si="49"/>
        <v>4.1373572633242456E-3</v>
      </c>
      <c r="R46" s="6">
        <f t="shared" si="50"/>
        <v>7.2026692454779445E-3</v>
      </c>
      <c r="S46" s="6">
        <f t="shared" si="51"/>
        <v>3.6154204304251186E-3</v>
      </c>
      <c r="T46" s="6">
        <f t="shared" si="52"/>
        <v>0.36528214148270094</v>
      </c>
      <c r="V46" s="6">
        <f t="shared" si="53"/>
        <v>21.532895872336582</v>
      </c>
      <c r="W46" s="6">
        <f t="shared" si="54"/>
        <v>86.925526153825942</v>
      </c>
      <c r="X46" s="6">
        <f t="shared" si="55"/>
        <v>0.72403752108174302</v>
      </c>
      <c r="Y46" s="6">
        <f t="shared" si="56"/>
        <v>1.2604671179586402</v>
      </c>
      <c r="Z46" s="6">
        <f t="shared" si="57"/>
        <v>0.63269857532439577</v>
      </c>
      <c r="AA46" s="6">
        <f t="shared" si="58"/>
        <v>63.924374759472663</v>
      </c>
      <c r="AC46" s="14">
        <f t="shared" si="59"/>
        <v>0.35629178046572657</v>
      </c>
      <c r="AD46" s="17"/>
      <c r="AE46" s="15">
        <f t="shared" si="60"/>
        <v>0.12185683337729696</v>
      </c>
    </row>
    <row r="47" spans="2:34" x14ac:dyDescent="0.2">
      <c r="B47" s="6">
        <f t="shared" si="36"/>
        <v>32</v>
      </c>
      <c r="C47" s="6">
        <f t="shared" si="37"/>
        <v>1.030033102274045</v>
      </c>
      <c r="D47" s="6">
        <f t="shared" si="38"/>
        <v>21.001103409134821</v>
      </c>
      <c r="E47" s="6">
        <f t="shared" si="39"/>
        <v>0.35563062233842735</v>
      </c>
      <c r="F47" s="6">
        <f t="shared" si="40"/>
        <v>0.12400616366885106</v>
      </c>
      <c r="H47" s="6">
        <f t="shared" si="41"/>
        <v>567.08176019276118</v>
      </c>
      <c r="I47" s="6">
        <f t="shared" si="42"/>
        <v>2289.9755141619103</v>
      </c>
      <c r="J47" s="6">
        <f t="shared" si="43"/>
        <v>19.440344829518033</v>
      </c>
      <c r="K47" s="6">
        <f t="shared" si="44"/>
        <v>33.345010396245925</v>
      </c>
      <c r="L47" s="6">
        <f t="shared" si="45"/>
        <v>17.154711230245336</v>
      </c>
      <c r="M47" s="6">
        <f t="shared" si="46"/>
        <v>1684.9063640310915</v>
      </c>
      <c r="O47" s="6">
        <f t="shared" si="47"/>
        <v>0.12296045114676064</v>
      </c>
      <c r="P47" s="6">
        <f t="shared" si="48"/>
        <v>0.49653584738939732</v>
      </c>
      <c r="Q47" s="6">
        <f t="shared" si="49"/>
        <v>4.2152538460655054E-3</v>
      </c>
      <c r="R47" s="6">
        <f t="shared" si="50"/>
        <v>7.2302052536870878E-3</v>
      </c>
      <c r="S47" s="6">
        <f t="shared" si="51"/>
        <v>3.7196594569473755E-3</v>
      </c>
      <c r="T47" s="6">
        <f t="shared" si="52"/>
        <v>0.36533858290714205</v>
      </c>
      <c r="V47" s="6">
        <f t="shared" si="53"/>
        <v>21.518078950683112</v>
      </c>
      <c r="W47" s="6">
        <f t="shared" si="54"/>
        <v>86.893773293144534</v>
      </c>
      <c r="X47" s="6">
        <f t="shared" si="55"/>
        <v>0.73766942306146344</v>
      </c>
      <c r="Y47" s="6">
        <f t="shared" si="56"/>
        <v>1.2652859193952404</v>
      </c>
      <c r="Z47" s="6">
        <f t="shared" si="57"/>
        <v>0.65094040496579075</v>
      </c>
      <c r="AA47" s="6">
        <f t="shared" si="58"/>
        <v>63.934252008749858</v>
      </c>
      <c r="AC47" s="14">
        <f t="shared" si="59"/>
        <v>0.3452613528179701</v>
      </c>
      <c r="AD47" s="17"/>
      <c r="AE47" s="15">
        <f t="shared" si="60"/>
        <v>0.12039046453466178</v>
      </c>
    </row>
    <row r="48" spans="2:34" x14ac:dyDescent="0.2">
      <c r="B48" s="6">
        <f t="shared" si="36"/>
        <v>33</v>
      </c>
      <c r="C48" s="6">
        <f t="shared" si="37"/>
        <v>1.0609340953422663</v>
      </c>
      <c r="D48" s="6">
        <f t="shared" si="38"/>
        <v>22.031136511408867</v>
      </c>
      <c r="E48" s="6">
        <f t="shared" si="39"/>
        <v>0.35502732234734047</v>
      </c>
      <c r="F48" s="6">
        <f t="shared" si="40"/>
        <v>0.12619473849472546</v>
      </c>
      <c r="H48" s="6">
        <f t="shared" si="41"/>
        <v>566.60212340675389</v>
      </c>
      <c r="I48" s="6">
        <f t="shared" si="42"/>
        <v>2288.7846161312259</v>
      </c>
      <c r="J48" s="6">
        <f t="shared" si="43"/>
        <v>19.79597545185646</v>
      </c>
      <c r="K48" s="6">
        <f t="shared" si="44"/>
        <v>33.469016559914778</v>
      </c>
      <c r="L48" s="6">
        <f t="shared" si="45"/>
        <v>17.634348016252616</v>
      </c>
      <c r="M48" s="6">
        <f t="shared" si="46"/>
        <v>1684.9063640310915</v>
      </c>
      <c r="O48" s="6">
        <f t="shared" si="47"/>
        <v>0.12287540160973184</v>
      </c>
      <c r="P48" s="6">
        <f t="shared" si="48"/>
        <v>0.49635417392074671</v>
      </c>
      <c r="Q48" s="6">
        <f t="shared" si="49"/>
        <v>4.2930273880337185E-3</v>
      </c>
      <c r="R48" s="6">
        <f t="shared" si="50"/>
        <v>7.2582129176561299E-3</v>
      </c>
      <c r="S48" s="6">
        <f t="shared" si="51"/>
        <v>3.824248983739318E-3</v>
      </c>
      <c r="T48" s="6">
        <f t="shared" si="52"/>
        <v>0.36539493518009214</v>
      </c>
      <c r="V48" s="6">
        <f t="shared" si="53"/>
        <v>21.503195281703071</v>
      </c>
      <c r="W48" s="6">
        <f t="shared" si="54"/>
        <v>86.861980436130679</v>
      </c>
      <c r="X48" s="6">
        <f t="shared" si="55"/>
        <v>0.75127979290590075</v>
      </c>
      <c r="Y48" s="6">
        <f t="shared" si="56"/>
        <v>1.2701872605898228</v>
      </c>
      <c r="Z48" s="6">
        <f t="shared" si="57"/>
        <v>0.66924357215438068</v>
      </c>
      <c r="AA48" s="6">
        <f t="shared" si="58"/>
        <v>63.944113656516123</v>
      </c>
      <c r="AC48" s="14">
        <f t="shared" si="59"/>
        <v>0.33463654708241386</v>
      </c>
      <c r="AD48" s="17"/>
      <c r="AE48" s="15">
        <f t="shared" si="60"/>
        <v>0.11894682153090194</v>
      </c>
    </row>
    <row r="49" spans="2:31" x14ac:dyDescent="0.2">
      <c r="B49" s="6">
        <f t="shared" si="36"/>
        <v>34</v>
      </c>
      <c r="C49" s="6">
        <f t="shared" si="37"/>
        <v>1.0927621182025344</v>
      </c>
      <c r="D49" s="6">
        <f t="shared" si="38"/>
        <v>23.092070606751133</v>
      </c>
      <c r="E49" s="6">
        <f t="shared" si="39"/>
        <v>0.35448936872359943</v>
      </c>
      <c r="F49" s="6">
        <f t="shared" si="40"/>
        <v>0.12842688168977331</v>
      </c>
      <c r="H49" s="6">
        <f t="shared" si="41"/>
        <v>566.12090134591176</v>
      </c>
      <c r="I49" s="6">
        <f t="shared" si="42"/>
        <v>2287.5933394256895</v>
      </c>
      <c r="J49" s="6">
        <f t="shared" si="43"/>
        <v>20.1510027742038</v>
      </c>
      <c r="K49" s="6">
        <f t="shared" si="44"/>
        <v>33.595211298409502</v>
      </c>
      <c r="L49" s="6">
        <f t="shared" si="45"/>
        <v>18.115570077094681</v>
      </c>
      <c r="M49" s="6">
        <f t="shared" si="46"/>
        <v>1684.9063640310915</v>
      </c>
      <c r="O49" s="6">
        <f t="shared" si="47"/>
        <v>0.12278994985480174</v>
      </c>
      <c r="P49" s="6">
        <f t="shared" si="48"/>
        <v>0.4961722324126433</v>
      </c>
      <c r="Q49" s="6">
        <f t="shared" si="49"/>
        <v>4.3706929284643764E-3</v>
      </c>
      <c r="R49" s="6">
        <f t="shared" si="50"/>
        <v>7.2867020116832177E-3</v>
      </c>
      <c r="S49" s="6">
        <f t="shared" si="51"/>
        <v>3.9292135938970418E-3</v>
      </c>
      <c r="T49" s="6">
        <f t="shared" si="52"/>
        <v>0.36545120919851037</v>
      </c>
      <c r="V49" s="6">
        <f t="shared" si="53"/>
        <v>21.488241224590304</v>
      </c>
      <c r="W49" s="6">
        <f t="shared" si="54"/>
        <v>86.830140672212579</v>
      </c>
      <c r="X49" s="6">
        <f t="shared" si="55"/>
        <v>0.76487126248126591</v>
      </c>
      <c r="Y49" s="6">
        <f t="shared" si="56"/>
        <v>1.2751728520445631</v>
      </c>
      <c r="Z49" s="6">
        <f t="shared" si="57"/>
        <v>0.68761237893198235</v>
      </c>
      <c r="AA49" s="6">
        <f t="shared" si="58"/>
        <v>63.953961609739316</v>
      </c>
      <c r="AC49" s="14">
        <f t="shared" si="59"/>
        <v>0.32439756358565291</v>
      </c>
      <c r="AD49" s="17"/>
      <c r="AE49" s="15">
        <f t="shared" si="60"/>
        <v>0.11752501258098191</v>
      </c>
    </row>
    <row r="50" spans="2:31" x14ac:dyDescent="0.2">
      <c r="B50" s="6">
        <f t="shared" si="36"/>
        <v>35</v>
      </c>
      <c r="C50" s="6">
        <f t="shared" si="37"/>
        <v>1.1255449817486105</v>
      </c>
      <c r="D50" s="6">
        <f t="shared" si="38"/>
        <v>24.184832724953665</v>
      </c>
      <c r="E50" s="6">
        <f t="shared" si="39"/>
        <v>0.35401305475205108</v>
      </c>
      <c r="F50" s="6">
        <f t="shared" si="40"/>
        <v>0.13070300747895833</v>
      </c>
      <c r="H50" s="6">
        <f t="shared" si="41"/>
        <v>565.63798509549838</v>
      </c>
      <c r="I50" s="6">
        <f t="shared" si="42"/>
        <v>2286.401444437829</v>
      </c>
      <c r="J50" s="6">
        <f t="shared" si="43"/>
        <v>20.505492142927398</v>
      </c>
      <c r="K50" s="6">
        <f t="shared" si="44"/>
        <v>33.723638180099279</v>
      </c>
      <c r="L50" s="6">
        <f t="shared" si="45"/>
        <v>18.598486327508052</v>
      </c>
      <c r="M50" s="6">
        <f t="shared" si="46"/>
        <v>1684.9063640310915</v>
      </c>
      <c r="O50" s="6">
        <f t="shared" si="47"/>
        <v>0.12270407561510116</v>
      </c>
      <c r="P50" s="6">
        <f t="shared" si="48"/>
        <v>0.49598998496787594</v>
      </c>
      <c r="Q50" s="6">
        <f t="shared" si="49"/>
        <v>4.4482646581909171E-3</v>
      </c>
      <c r="R50" s="6">
        <f t="shared" si="50"/>
        <v>7.3156823945771223E-3</v>
      </c>
      <c r="S50" s="6">
        <f t="shared" si="51"/>
        <v>4.0345771196248032E-3</v>
      </c>
      <c r="T50" s="6">
        <f t="shared" si="52"/>
        <v>0.3655074152446301</v>
      </c>
      <c r="V50" s="6">
        <f t="shared" si="53"/>
        <v>21.473213232642703</v>
      </c>
      <c r="W50" s="6">
        <f t="shared" si="54"/>
        <v>86.798247369378288</v>
      </c>
      <c r="X50" s="6">
        <f t="shared" si="55"/>
        <v>0.77844631518341045</v>
      </c>
      <c r="Y50" s="6">
        <f t="shared" si="56"/>
        <v>1.2802444190509965</v>
      </c>
      <c r="Z50" s="6">
        <f t="shared" si="57"/>
        <v>0.70605099593434062</v>
      </c>
      <c r="AA50" s="6">
        <f t="shared" si="58"/>
        <v>63.963797667810269</v>
      </c>
      <c r="AC50" s="14">
        <f t="shared" si="59"/>
        <v>0.31452590566577604</v>
      </c>
      <c r="AD50" s="17"/>
      <c r="AE50" s="15">
        <f t="shared" si="60"/>
        <v>0.11612419725411804</v>
      </c>
    </row>
    <row r="51" spans="2:31" x14ac:dyDescent="0.2">
      <c r="B51" s="6">
        <f t="shared" si="36"/>
        <v>36</v>
      </c>
      <c r="C51" s="6">
        <f t="shared" si="37"/>
        <v>1.1593113312010688</v>
      </c>
      <c r="D51" s="6">
        <f t="shared" si="38"/>
        <v>25.310377706702276</v>
      </c>
      <c r="E51" s="6">
        <f t="shared" si="39"/>
        <v>0.35359490765362128</v>
      </c>
      <c r="F51" s="6">
        <f t="shared" si="40"/>
        <v>0.13302353549811888</v>
      </c>
      <c r="H51" s="6">
        <f t="shared" si="41"/>
        <v>565.15326903326741</v>
      </c>
      <c r="I51" s="6">
        <f t="shared" si="42"/>
        <v>2285.208702266094</v>
      </c>
      <c r="J51" s="6">
        <f t="shared" si="43"/>
        <v>20.85950519767945</v>
      </c>
      <c r="K51" s="6">
        <f t="shared" si="44"/>
        <v>33.854341187578235</v>
      </c>
      <c r="L51" s="6">
        <f t="shared" si="45"/>
        <v>19.083202389739061</v>
      </c>
      <c r="M51" s="6">
        <f t="shared" si="46"/>
        <v>1684.9063640310915</v>
      </c>
      <c r="O51" s="6">
        <f t="shared" si="47"/>
        <v>0.12261775911928295</v>
      </c>
      <c r="P51" s="6">
        <f t="shared" si="48"/>
        <v>0.49580739517098832</v>
      </c>
      <c r="Q51" s="6">
        <f t="shared" si="49"/>
        <v>4.525755974218614E-3</v>
      </c>
      <c r="R51" s="6">
        <f t="shared" si="50"/>
        <v>7.3451640118463741E-3</v>
      </c>
      <c r="S51" s="6">
        <f t="shared" si="51"/>
        <v>4.1403626981618147E-3</v>
      </c>
      <c r="T51" s="6">
        <f t="shared" si="52"/>
        <v>0.3655635630255018</v>
      </c>
      <c r="V51" s="6">
        <f t="shared" si="53"/>
        <v>21.458107845874515</v>
      </c>
      <c r="W51" s="6">
        <f t="shared" si="54"/>
        <v>86.76629415492296</v>
      </c>
      <c r="X51" s="6">
        <f t="shared" si="55"/>
        <v>0.79200729548825743</v>
      </c>
      <c r="Y51" s="6">
        <f t="shared" si="56"/>
        <v>1.2854037020731155</v>
      </c>
      <c r="Z51" s="6">
        <f t="shared" si="57"/>
        <v>0.72456347217831762</v>
      </c>
      <c r="AA51" s="6">
        <f t="shared" si="58"/>
        <v>63.973623529462813</v>
      </c>
      <c r="AC51" s="14">
        <f t="shared" si="59"/>
        <v>0.30500427118855999</v>
      </c>
      <c r="AD51" s="17"/>
      <c r="AE51" s="15">
        <f t="shared" si="60"/>
        <v>0.11474358260632538</v>
      </c>
    </row>
    <row r="52" spans="2:31" x14ac:dyDescent="0.2">
      <c r="B52" s="6">
        <f t="shared" si="36"/>
        <v>37</v>
      </c>
      <c r="C52" s="6">
        <f t="shared" si="37"/>
        <v>1.1940906711371009</v>
      </c>
      <c r="D52" s="6">
        <f t="shared" si="38"/>
        <v>26.469689037903343</v>
      </c>
      <c r="E52" s="6">
        <f t="shared" si="39"/>
        <v>0.3532316691226372</v>
      </c>
      <c r="F52" s="6">
        <f t="shared" si="40"/>
        <v>0.13538888959441053</v>
      </c>
      <c r="H52" s="6">
        <f t="shared" si="41"/>
        <v>564.66665059011575</v>
      </c>
      <c r="I52" s="6">
        <f t="shared" si="42"/>
        <v>2284.0148940076351</v>
      </c>
      <c r="J52" s="6">
        <f t="shared" si="43"/>
        <v>21.213100105333073</v>
      </c>
      <c r="K52" s="6">
        <f t="shared" si="44"/>
        <v>33.987364723076354</v>
      </c>
      <c r="L52" s="6">
        <f t="shared" si="45"/>
        <v>19.569820832890802</v>
      </c>
      <c r="M52" s="6">
        <f t="shared" si="46"/>
        <v>1684.9063640310915</v>
      </c>
      <c r="O52" s="6">
        <f t="shared" si="47"/>
        <v>0.12253098105302451</v>
      </c>
      <c r="P52" s="6">
        <f t="shared" si="48"/>
        <v>0.49562442798773321</v>
      </c>
      <c r="Q52" s="6">
        <f t="shared" si="49"/>
        <v>4.6031795296677608E-3</v>
      </c>
      <c r="R52" s="6">
        <f t="shared" si="50"/>
        <v>7.3751568975665661E-3</v>
      </c>
      <c r="S52" s="6">
        <f t="shared" si="51"/>
        <v>4.2465928228274967E-3</v>
      </c>
      <c r="T52" s="6">
        <f t="shared" si="52"/>
        <v>0.36561966170918042</v>
      </c>
      <c r="V52" s="6">
        <f t="shared" si="53"/>
        <v>21.442921684279291</v>
      </c>
      <c r="W52" s="6">
        <f t="shared" si="54"/>
        <v>86.734274897853311</v>
      </c>
      <c r="X52" s="6">
        <f t="shared" si="55"/>
        <v>0.80555641769185815</v>
      </c>
      <c r="Y52" s="6">
        <f t="shared" si="56"/>
        <v>1.2906524570741491</v>
      </c>
      <c r="Z52" s="6">
        <f t="shared" si="57"/>
        <v>0.74315374399481193</v>
      </c>
      <c r="AA52" s="6">
        <f t="shared" si="58"/>
        <v>63.983440799106575</v>
      </c>
      <c r="AC52" s="14">
        <f t="shared" si="59"/>
        <v>0.29581645486457409</v>
      </c>
      <c r="AD52" s="17"/>
      <c r="AE52" s="15">
        <f t="shared" si="60"/>
        <v>0.11338241966624132</v>
      </c>
    </row>
    <row r="53" spans="2:31" x14ac:dyDescent="0.2">
      <c r="B53" s="6">
        <f t="shared" si="36"/>
        <v>38</v>
      </c>
      <c r="C53" s="6">
        <f t="shared" si="37"/>
        <v>1.2299133912712139</v>
      </c>
      <c r="D53" s="6">
        <f t="shared" si="38"/>
        <v>27.663779709040444</v>
      </c>
      <c r="E53" s="6">
        <f t="shared" si="39"/>
        <v>0.35292027781509372</v>
      </c>
      <c r="F53" s="6">
        <f t="shared" si="40"/>
        <v>0.13779949664883839</v>
      </c>
      <c r="H53" s="6">
        <f t="shared" si="41"/>
        <v>564.17803003139863</v>
      </c>
      <c r="I53" s="6">
        <f t="shared" si="42"/>
        <v>2282.8198101106732</v>
      </c>
      <c r="J53" s="6">
        <f t="shared" si="43"/>
        <v>21.566331774455708</v>
      </c>
      <c r="K53" s="6">
        <f t="shared" si="44"/>
        <v>34.122753612670763</v>
      </c>
      <c r="L53" s="6">
        <f t="shared" si="45"/>
        <v>20.058441391607847</v>
      </c>
      <c r="M53" s="6">
        <f t="shared" si="46"/>
        <v>1684.9063640310915</v>
      </c>
      <c r="O53" s="6">
        <f t="shared" si="47"/>
        <v>0.12244372252389069</v>
      </c>
      <c r="P53" s="6">
        <f t="shared" si="48"/>
        <v>0.4954410496730543</v>
      </c>
      <c r="Q53" s="6">
        <f t="shared" si="49"/>
        <v>4.6805472795575873E-3</v>
      </c>
      <c r="R53" s="6">
        <f t="shared" si="50"/>
        <v>7.4056711759378849E-3</v>
      </c>
      <c r="S53" s="6">
        <f t="shared" si="51"/>
        <v>4.3532893896613941E-3</v>
      </c>
      <c r="T53" s="6">
        <f t="shared" si="52"/>
        <v>0.36567571995789838</v>
      </c>
      <c r="V53" s="6">
        <f t="shared" si="53"/>
        <v>21.427651441680869</v>
      </c>
      <c r="W53" s="6">
        <f t="shared" si="54"/>
        <v>86.702183692784502</v>
      </c>
      <c r="X53" s="6">
        <f t="shared" si="55"/>
        <v>0.81909577392257782</v>
      </c>
      <c r="Y53" s="6">
        <f t="shared" si="56"/>
        <v>1.2959924557891298</v>
      </c>
      <c r="Z53" s="6">
        <f t="shared" si="57"/>
        <v>0.76182564319074397</v>
      </c>
      <c r="AA53" s="6">
        <f t="shared" si="58"/>
        <v>63.99325099263222</v>
      </c>
      <c r="AC53" s="14">
        <f t="shared" si="59"/>
        <v>0.2869472601240014</v>
      </c>
      <c r="AD53" s="17"/>
      <c r="AE53" s="15">
        <f t="shared" si="60"/>
        <v>0.11204000023644883</v>
      </c>
    </row>
    <row r="54" spans="2:31" x14ac:dyDescent="0.2">
      <c r="B54" s="6">
        <f t="shared" si="36"/>
        <v>39</v>
      </c>
      <c r="C54" s="6">
        <f t="shared" si="37"/>
        <v>1.2668107930093504</v>
      </c>
      <c r="D54" s="6">
        <f t="shared" si="38"/>
        <v>28.893693100311658</v>
      </c>
      <c r="E54" s="6">
        <f t="shared" si="39"/>
        <v>0.35265785356578688</v>
      </c>
      <c r="F54" s="6">
        <f t="shared" si="40"/>
        <v>0.1402557854133378</v>
      </c>
      <c r="H54" s="6">
        <f t="shared" si="41"/>
        <v>563.68731025693467</v>
      </c>
      <c r="I54" s="6">
        <f t="shared" si="42"/>
        <v>2281.623249780579</v>
      </c>
      <c r="J54" s="6">
        <f t="shared" si="43"/>
        <v>21.919252052270803</v>
      </c>
      <c r="K54" s="6">
        <f t="shared" si="44"/>
        <v>34.260553109319602</v>
      </c>
      <c r="L54" s="6">
        <f t="shared" si="45"/>
        <v>20.54916116607178</v>
      </c>
      <c r="M54" s="6">
        <f t="shared" si="46"/>
        <v>1684.9063640310915</v>
      </c>
      <c r="O54" s="6">
        <f t="shared" si="47"/>
        <v>0.12235596502924173</v>
      </c>
      <c r="P54" s="6">
        <f t="shared" si="48"/>
        <v>0.4952572276867625</v>
      </c>
      <c r="Q54" s="6">
        <f t="shared" si="49"/>
        <v>4.7578705228477104E-3</v>
      </c>
      <c r="R54" s="6">
        <f t="shared" si="50"/>
        <v>7.436717062542419E-3</v>
      </c>
      <c r="S54" s="6">
        <f t="shared" si="51"/>
        <v>4.4604737400777764E-3</v>
      </c>
      <c r="T54" s="6">
        <f t="shared" si="52"/>
        <v>0.36573174595852781</v>
      </c>
      <c r="V54" s="6">
        <f t="shared" si="53"/>
        <v>21.412293880117304</v>
      </c>
      <c r="W54" s="6">
        <f t="shared" si="54"/>
        <v>86.670014845183431</v>
      </c>
      <c r="X54" s="6">
        <f t="shared" si="55"/>
        <v>0.83262734149834927</v>
      </c>
      <c r="Y54" s="6">
        <f t="shared" si="56"/>
        <v>1.3014254859449232</v>
      </c>
      <c r="Z54" s="6">
        <f t="shared" si="57"/>
        <v>0.7805829045136109</v>
      </c>
      <c r="AA54" s="6">
        <f t="shared" si="58"/>
        <v>64.003055542742374</v>
      </c>
      <c r="AC54" s="14">
        <f t="shared" si="59"/>
        <v>0.27838241946773806</v>
      </c>
      <c r="AD54" s="17"/>
      <c r="AE54" s="15">
        <f t="shared" si="60"/>
        <v>0.11071565397714651</v>
      </c>
    </row>
    <row r="55" spans="2:31" x14ac:dyDescent="0.2">
      <c r="B55" s="6">
        <f t="shared" si="36"/>
        <v>40</v>
      </c>
      <c r="C55" s="6">
        <f t="shared" si="37"/>
        <v>1.3048151167996309</v>
      </c>
      <c r="D55" s="6">
        <f t="shared" si="38"/>
        <v>30.16050389332101</v>
      </c>
      <c r="E55" s="6">
        <f t="shared" si="39"/>
        <v>0.3524416831409084</v>
      </c>
      <c r="F55" s="6">
        <f t="shared" si="40"/>
        <v>0.14275818535555768</v>
      </c>
      <c r="H55" s="6">
        <f t="shared" si="41"/>
        <v>563.19439661795548</v>
      </c>
      <c r="I55" s="6">
        <f t="shared" si="42"/>
        <v>2280.425020434468</v>
      </c>
      <c r="J55" s="6">
        <f t="shared" si="43"/>
        <v>22.271909905836591</v>
      </c>
      <c r="K55" s="6">
        <f t="shared" si="44"/>
        <v>34.40080889473294</v>
      </c>
      <c r="L55" s="6">
        <f t="shared" si="45"/>
        <v>21.042074805050905</v>
      </c>
      <c r="M55" s="6">
        <f t="shared" si="46"/>
        <v>1684.9063640310915</v>
      </c>
      <c r="O55" s="6">
        <f t="shared" si="47"/>
        <v>0.1222676904269083</v>
      </c>
      <c r="P55" s="6">
        <f t="shared" si="48"/>
        <v>0.49507293061617136</v>
      </c>
      <c r="Q55" s="6">
        <f t="shared" si="49"/>
        <v>4.8351599411065645E-3</v>
      </c>
      <c r="R55" s="6">
        <f t="shared" si="50"/>
        <v>7.4683048653086392E-3</v>
      </c>
      <c r="S55" s="6">
        <f t="shared" si="51"/>
        <v>4.5681666999060257E-3</v>
      </c>
      <c r="T55" s="6">
        <f t="shared" si="52"/>
        <v>0.36578774745059894</v>
      </c>
      <c r="V55" s="6">
        <f t="shared" si="53"/>
        <v>21.396845824708951</v>
      </c>
      <c r="W55" s="6">
        <f t="shared" si="54"/>
        <v>86.637762857829983</v>
      </c>
      <c r="X55" s="6">
        <f t="shared" si="55"/>
        <v>0.84615298969364883</v>
      </c>
      <c r="Y55" s="6">
        <f t="shared" si="56"/>
        <v>1.3069533514290119</v>
      </c>
      <c r="Z55" s="6">
        <f t="shared" si="57"/>
        <v>0.7994291724835545</v>
      </c>
      <c r="AA55" s="6">
        <f t="shared" si="58"/>
        <v>64.012855803854819</v>
      </c>
      <c r="AC55" s="14">
        <f t="shared" si="59"/>
        <v>0.27010852235169941</v>
      </c>
      <c r="AD55" s="17"/>
      <c r="AE55" s="15">
        <f t="shared" si="60"/>
        <v>0.10940874574300306</v>
      </c>
    </row>
    <row r="56" spans="2:31" x14ac:dyDescent="0.2">
      <c r="B56" s="6">
        <f t="shared" si="36"/>
        <v>41</v>
      </c>
      <c r="C56" s="6">
        <f t="shared" si="37"/>
        <v>1.3439595703036198</v>
      </c>
      <c r="D56" s="6">
        <f t="shared" si="38"/>
        <v>31.465319010120641</v>
      </c>
      <c r="E56" s="6">
        <f t="shared" si="39"/>
        <v>0.3522692073572562</v>
      </c>
      <c r="F56" s="6">
        <f t="shared" si="40"/>
        <v>0.14530712550509575</v>
      </c>
      <c r="H56" s="6">
        <f t="shared" si="41"/>
        <v>562.69919674945902</v>
      </c>
      <c r="I56" s="6">
        <f t="shared" si="42"/>
        <v>2279.22493719969</v>
      </c>
      <c r="J56" s="6">
        <f t="shared" si="43"/>
        <v>22.6243515889775</v>
      </c>
      <c r="K56" s="6">
        <f t="shared" si="44"/>
        <v>34.543567080088501</v>
      </c>
      <c r="L56" s="6">
        <f t="shared" si="45"/>
        <v>21.537274673547373</v>
      </c>
      <c r="M56" s="6">
        <f t="shared" si="46"/>
        <v>1684.9063640310915</v>
      </c>
      <c r="O56" s="6">
        <f t="shared" si="47"/>
        <v>0.12217888090838663</v>
      </c>
      <c r="P56" s="6">
        <f t="shared" si="48"/>
        <v>0.49488812810503385</v>
      </c>
      <c r="Q56" s="6">
        <f t="shared" si="49"/>
        <v>4.9124256341348824E-3</v>
      </c>
      <c r="R56" s="6">
        <f t="shared" si="50"/>
        <v>7.5004449851883599E-3</v>
      </c>
      <c r="S56" s="6">
        <f t="shared" si="51"/>
        <v>4.6763886151452655E-3</v>
      </c>
      <c r="T56" s="6">
        <f t="shared" si="52"/>
        <v>0.3658437317521111</v>
      </c>
      <c r="V56" s="6">
        <f t="shared" si="53"/>
        <v>21.381304158967662</v>
      </c>
      <c r="W56" s="6">
        <f t="shared" si="54"/>
        <v>86.605422418380925</v>
      </c>
      <c r="X56" s="6">
        <f t="shared" si="55"/>
        <v>0.85967448597360441</v>
      </c>
      <c r="Y56" s="6">
        <f t="shared" si="56"/>
        <v>1.3125778724079631</v>
      </c>
      <c r="Z56" s="6">
        <f t="shared" si="57"/>
        <v>0.8183680076504215</v>
      </c>
      <c r="AA56" s="6">
        <f t="shared" si="58"/>
        <v>64.022653056619447</v>
      </c>
      <c r="AC56" s="14">
        <f t="shared" si="59"/>
        <v>0.26211294977993538</v>
      </c>
      <c r="AD56" s="17"/>
      <c r="AE56" s="15">
        <f t="shared" si="60"/>
        <v>0.1081186731474882</v>
      </c>
    </row>
    <row r="57" spans="2:31" x14ac:dyDescent="0.2">
      <c r="B57" s="6">
        <f t="shared" si="36"/>
        <v>42</v>
      </c>
      <c r="C57" s="6">
        <f t="shared" si="37"/>
        <v>1.3842783574127284</v>
      </c>
      <c r="D57" s="6">
        <f t="shared" si="38"/>
        <v>32.809278580424262</v>
      </c>
      <c r="E57" s="6">
        <f t="shared" si="39"/>
        <v>0.35213800942031864</v>
      </c>
      <c r="F57" s="6">
        <f t="shared" si="40"/>
        <v>0.14790303329543869</v>
      </c>
      <c r="H57" s="6">
        <f t="shared" si="41"/>
        <v>562.20162041659671</v>
      </c>
      <c r="I57" s="6">
        <f t="shared" si="42"/>
        <v>2278.0228224521134</v>
      </c>
      <c r="J57" s="6">
        <f t="shared" si="43"/>
        <v>22.976620796334757</v>
      </c>
      <c r="K57" s="6">
        <f t="shared" si="44"/>
        <v>34.688874205593599</v>
      </c>
      <c r="L57" s="6">
        <f t="shared" si="45"/>
        <v>22.034851006409724</v>
      </c>
      <c r="M57" s="6">
        <f t="shared" si="46"/>
        <v>1684.9063640310915</v>
      </c>
      <c r="O57" s="6">
        <f t="shared" si="47"/>
        <v>0.12208951897433706</v>
      </c>
      <c r="P57" s="6">
        <f t="shared" si="48"/>
        <v>0.49470279078820267</v>
      </c>
      <c r="Q57" s="6">
        <f t="shared" si="49"/>
        <v>4.9896771528363379E-3</v>
      </c>
      <c r="R57" s="6">
        <f t="shared" si="50"/>
        <v>7.5331479165498079E-3</v>
      </c>
      <c r="S57" s="6">
        <f t="shared" si="51"/>
        <v>4.7851593847244136E-3</v>
      </c>
      <c r="T57" s="6">
        <f t="shared" si="52"/>
        <v>0.36589970578334979</v>
      </c>
      <c r="V57" s="6">
        <f t="shared" si="53"/>
        <v>21.365665820508987</v>
      </c>
      <c r="W57" s="6">
        <f t="shared" si="54"/>
        <v>86.572988387935467</v>
      </c>
      <c r="X57" s="6">
        <f t="shared" si="55"/>
        <v>0.87319350174635912</v>
      </c>
      <c r="Y57" s="6">
        <f t="shared" si="56"/>
        <v>1.3183008853962164</v>
      </c>
      <c r="Z57" s="6">
        <f t="shared" si="57"/>
        <v>0.83740289232677234</v>
      </c>
      <c r="AA57" s="6">
        <f t="shared" si="58"/>
        <v>64.032448512086219</v>
      </c>
      <c r="AC57" s="14">
        <f t="shared" si="59"/>
        <v>0.25438381488422507</v>
      </c>
      <c r="AD57" s="17"/>
      <c r="AE57" s="15">
        <f t="shared" si="60"/>
        <v>0.10684486433196527</v>
      </c>
    </row>
    <row r="58" spans="2:31" x14ac:dyDescent="0.2">
      <c r="B58" s="6">
        <f t="shared" si="36"/>
        <v>43</v>
      </c>
      <c r="C58" s="6">
        <f t="shared" si="37"/>
        <v>1.4258067081351102</v>
      </c>
      <c r="D58" s="6">
        <f t="shared" si="38"/>
        <v>34.193556937836988</v>
      </c>
      <c r="E58" s="6">
        <f t="shared" si="39"/>
        <v>0.35204580435167526</v>
      </c>
      <c r="F58" s="6">
        <f t="shared" si="40"/>
        <v>0.1505463333962915</v>
      </c>
      <c r="H58" s="6">
        <f t="shared" si="41"/>
        <v>561.70157937388103</v>
      </c>
      <c r="I58" s="6">
        <f t="shared" si="42"/>
        <v>2276.8185053905572</v>
      </c>
      <c r="J58" s="6">
        <f t="shared" si="43"/>
        <v>23.328758805755076</v>
      </c>
      <c r="K58" s="6">
        <f t="shared" si="44"/>
        <v>34.836777238889034</v>
      </c>
      <c r="L58" s="6">
        <f t="shared" si="45"/>
        <v>22.534892049125482</v>
      </c>
      <c r="M58" s="6">
        <f t="shared" si="46"/>
        <v>1684.9063640310915</v>
      </c>
      <c r="O58" s="6">
        <f t="shared" si="47"/>
        <v>0.12199958741219251</v>
      </c>
      <c r="P58" s="6">
        <f t="shared" si="48"/>
        <v>0.49451689023149836</v>
      </c>
      <c r="Q58" s="6">
        <f t="shared" si="49"/>
        <v>5.066923529595856E-3</v>
      </c>
      <c r="R58" s="6">
        <f t="shared" si="50"/>
        <v>7.5664242472887524E-3</v>
      </c>
      <c r="S58" s="6">
        <f t="shared" si="51"/>
        <v>4.8944984905261342E-3</v>
      </c>
      <c r="T58" s="6">
        <f t="shared" si="52"/>
        <v>0.36595567608889829</v>
      </c>
      <c r="V58" s="6">
        <f t="shared" si="53"/>
        <v>21.349927797133688</v>
      </c>
      <c r="W58" s="6">
        <f t="shared" si="54"/>
        <v>86.540455790512212</v>
      </c>
      <c r="X58" s="6">
        <f t="shared" si="55"/>
        <v>0.88671161767927476</v>
      </c>
      <c r="Y58" s="6">
        <f t="shared" si="56"/>
        <v>1.3241242432755316</v>
      </c>
      <c r="Z58" s="6">
        <f t="shared" si="57"/>
        <v>0.85653723584207353</v>
      </c>
      <c r="AA58" s="6">
        <f t="shared" si="58"/>
        <v>64.042243315557201</v>
      </c>
      <c r="AC58" s="14">
        <f t="shared" si="59"/>
        <v>0.24690990885583294</v>
      </c>
      <c r="AD58" s="17"/>
      <c r="AE58" s="15">
        <f t="shared" si="60"/>
        <v>0.10558677591943666</v>
      </c>
    </row>
    <row r="59" spans="2:31" x14ac:dyDescent="0.2">
      <c r="B59" s="6">
        <f t="shared" si="36"/>
        <v>44</v>
      </c>
      <c r="C59" s="6">
        <f t="shared" si="37"/>
        <v>1.4685809093791635</v>
      </c>
      <c r="D59" s="6">
        <f t="shared" si="38"/>
        <v>35.619363645972101</v>
      </c>
      <c r="E59" s="6">
        <f t="shared" si="39"/>
        <v>0.35199042939184005</v>
      </c>
      <c r="F59" s="6">
        <f t="shared" si="40"/>
        <v>0.15323744653134588</v>
      </c>
      <c r="H59" s="6">
        <f t="shared" si="41"/>
        <v>561.19898723613312</v>
      </c>
      <c r="I59" s="6">
        <f t="shared" si="42"/>
        <v>2275.6118216441055</v>
      </c>
      <c r="J59" s="6">
        <f t="shared" si="43"/>
        <v>23.680804610106751</v>
      </c>
      <c r="K59" s="6">
        <f t="shared" si="44"/>
        <v>34.987323572285327</v>
      </c>
      <c r="L59" s="6">
        <f t="shared" si="45"/>
        <v>23.037484186873449</v>
      </c>
      <c r="M59" s="6">
        <f t="shared" si="46"/>
        <v>1684.9063640310915</v>
      </c>
      <c r="O59" s="6">
        <f t="shared" si="47"/>
        <v>0.12190906927570545</v>
      </c>
      <c r="P59" s="6">
        <f t="shared" si="48"/>
        <v>0.4943303988763218</v>
      </c>
      <c r="Q59" s="6">
        <f t="shared" si="49"/>
        <v>5.1441733063984293E-3</v>
      </c>
      <c r="R59" s="6">
        <f t="shared" si="50"/>
        <v>7.6002846586581156E-3</v>
      </c>
      <c r="S59" s="6">
        <f t="shared" si="51"/>
        <v>5.0044250249044256E-3</v>
      </c>
      <c r="T59" s="6">
        <f t="shared" si="52"/>
        <v>0.36601164885801163</v>
      </c>
      <c r="V59" s="6">
        <f t="shared" si="53"/>
        <v>21.334087123248455</v>
      </c>
      <c r="W59" s="6">
        <f t="shared" si="54"/>
        <v>86.507819803356313</v>
      </c>
      <c r="X59" s="6">
        <f t="shared" si="55"/>
        <v>0.90023032861972518</v>
      </c>
      <c r="Y59" s="6">
        <f t="shared" si="56"/>
        <v>1.3300498152651703</v>
      </c>
      <c r="Z59" s="6">
        <f t="shared" si="57"/>
        <v>0.87577437935827451</v>
      </c>
      <c r="AA59" s="6">
        <f t="shared" si="58"/>
        <v>64.052038550152034</v>
      </c>
      <c r="AC59" s="14">
        <f t="shared" si="59"/>
        <v>0.23968065167117183</v>
      </c>
      <c r="AD59" s="17"/>
      <c r="AE59" s="15">
        <f t="shared" si="60"/>
        <v>0.10434389113510019</v>
      </c>
    </row>
    <row r="60" spans="2:31" x14ac:dyDescent="0.2">
      <c r="B60" s="6">
        <f t="shared" si="36"/>
        <v>45</v>
      </c>
      <c r="C60" s="6">
        <f t="shared" si="37"/>
        <v>1.5126383366605385</v>
      </c>
      <c r="D60" s="6">
        <f t="shared" si="38"/>
        <v>37.087944555351264</v>
      </c>
      <c r="E60" s="6">
        <f t="shared" si="39"/>
        <v>0.3519698352782743</v>
      </c>
      <c r="F60" s="6">
        <f t="shared" si="40"/>
        <v>0.15597678827684991</v>
      </c>
      <c r="H60" s="6">
        <f t="shared" si="41"/>
        <v>560.69375936020992</v>
      </c>
      <c r="I60" s="6">
        <f t="shared" si="42"/>
        <v>2274.4026129093986</v>
      </c>
      <c r="J60" s="6">
        <f t="shared" si="43"/>
        <v>24.032795039498591</v>
      </c>
      <c r="K60" s="6">
        <f t="shared" si="44"/>
        <v>35.140561018816669</v>
      </c>
      <c r="L60" s="6">
        <f t="shared" si="45"/>
        <v>23.542712062796635</v>
      </c>
      <c r="M60" s="6">
        <f t="shared" si="46"/>
        <v>1684.9063640310915</v>
      </c>
      <c r="O60" s="6">
        <f t="shared" si="47"/>
        <v>0.12181794786628153</v>
      </c>
      <c r="P60" s="6">
        <f t="shared" si="48"/>
        <v>0.49414328998860196</v>
      </c>
      <c r="Q60" s="6">
        <f t="shared" si="49"/>
        <v>5.2214345608970047E-3</v>
      </c>
      <c r="R60" s="6">
        <f t="shared" si="50"/>
        <v>7.6347399248151513E-3</v>
      </c>
      <c r="S60" s="6">
        <f t="shared" si="51"/>
        <v>5.1149577159002747E-3</v>
      </c>
      <c r="T60" s="6">
        <f t="shared" si="52"/>
        <v>0.36606762994350411</v>
      </c>
      <c r="V60" s="6">
        <f t="shared" si="53"/>
        <v>21.318140876599266</v>
      </c>
      <c r="W60" s="6">
        <f t="shared" si="54"/>
        <v>86.475075748005338</v>
      </c>
      <c r="X60" s="6">
        <f t="shared" si="55"/>
        <v>0.91375104815697583</v>
      </c>
      <c r="Y60" s="6">
        <f t="shared" si="56"/>
        <v>1.3360794868426515</v>
      </c>
      <c r="Z60" s="6">
        <f t="shared" si="57"/>
        <v>0.89511760028254805</v>
      </c>
      <c r="AA60" s="6">
        <f t="shared" si="58"/>
        <v>64.061835240113226</v>
      </c>
      <c r="AC60" s="14">
        <f t="shared" si="59"/>
        <v>0.23268604711904922</v>
      </c>
      <c r="AD60" s="17"/>
      <c r="AE60" s="15">
        <f t="shared" si="60"/>
        <v>0.10311571807785917</v>
      </c>
    </row>
    <row r="61" spans="2:31" x14ac:dyDescent="0.2">
      <c r="B61" s="6">
        <f t="shared" si="36"/>
        <v>46</v>
      </c>
      <c r="C61" s="6">
        <f t="shared" si="37"/>
        <v>1.5580174867603547</v>
      </c>
      <c r="D61" s="6">
        <f t="shared" si="38"/>
        <v>38.600582892011801</v>
      </c>
      <c r="E61" s="6">
        <f t="shared" si="39"/>
        <v>0.35198207831007544</v>
      </c>
      <c r="F61" s="6">
        <f t="shared" si="40"/>
        <v>0.15876476783660565</v>
      </c>
      <c r="H61" s="6">
        <f t="shared" si="41"/>
        <v>560.18581273665484</v>
      </c>
      <c r="I61" s="6">
        <f t="shared" si="42"/>
        <v>2273.1907266152871</v>
      </c>
      <c r="J61" s="6">
        <f t="shared" si="43"/>
        <v>24.384764874776867</v>
      </c>
      <c r="K61" s="6">
        <f t="shared" si="44"/>
        <v>35.296537807093522</v>
      </c>
      <c r="L61" s="6">
        <f t="shared" si="45"/>
        <v>24.05065868635176</v>
      </c>
      <c r="M61" s="6">
        <f t="shared" si="46"/>
        <v>1684.9063640310915</v>
      </c>
      <c r="O61" s="6">
        <f t="shared" si="47"/>
        <v>0.12172620671596494</v>
      </c>
      <c r="P61" s="6">
        <f t="shared" si="48"/>
        <v>0.49395553761170991</v>
      </c>
      <c r="Q61" s="6">
        <f t="shared" si="49"/>
        <v>5.2987149306165677E-3</v>
      </c>
      <c r="R61" s="6">
        <f t="shared" si="50"/>
        <v>7.6698009120840464E-3</v>
      </c>
      <c r="S61" s="6">
        <f t="shared" si="51"/>
        <v>5.2261149503374594E-3</v>
      </c>
      <c r="T61" s="6">
        <f t="shared" si="52"/>
        <v>0.36612362487928696</v>
      </c>
      <c r="V61" s="6">
        <f t="shared" si="53"/>
        <v>21.302086175293866</v>
      </c>
      <c r="W61" s="6">
        <f t="shared" si="54"/>
        <v>86.442219082049235</v>
      </c>
      <c r="X61" s="6">
        <f t="shared" si="55"/>
        <v>0.92727511285789932</v>
      </c>
      <c r="Y61" s="6">
        <f t="shared" si="56"/>
        <v>1.3422151596147081</v>
      </c>
      <c r="Z61" s="6">
        <f t="shared" si="57"/>
        <v>0.91457011630905538</v>
      </c>
      <c r="AA61" s="6">
        <f t="shared" si="58"/>
        <v>64.071634353875211</v>
      </c>
      <c r="AC61" s="14">
        <f t="shared" si="59"/>
        <v>0.22591664169441719</v>
      </c>
      <c r="AD61" s="17"/>
      <c r="AE61" s="15">
        <f t="shared" si="60"/>
        <v>0.10190178812866299</v>
      </c>
    </row>
    <row r="62" spans="2:31" x14ac:dyDescent="0.2">
      <c r="B62" s="6">
        <f t="shared" si="36"/>
        <v>47</v>
      </c>
      <c r="C62" s="6">
        <f t="shared" si="37"/>
        <v>1.6047580113631654</v>
      </c>
      <c r="D62" s="6">
        <f t="shared" si="38"/>
        <v>40.158600378772157</v>
      </c>
      <c r="E62" s="6">
        <f t="shared" si="39"/>
        <v>0.3520253131211053</v>
      </c>
      <c r="F62" s="6">
        <f t="shared" si="40"/>
        <v>0.16160178678924592</v>
      </c>
      <c r="H62" s="6">
        <f t="shared" si="41"/>
        <v>559.67506589050811</v>
      </c>
      <c r="I62" s="6">
        <f t="shared" si="42"/>
        <v>2271.9760156125203</v>
      </c>
      <c r="J62" s="6">
        <f t="shared" si="43"/>
        <v>24.736746953086943</v>
      </c>
      <c r="K62" s="6">
        <f t="shared" si="44"/>
        <v>35.45530257493013</v>
      </c>
      <c r="L62" s="6">
        <f t="shared" si="45"/>
        <v>24.561405532498441</v>
      </c>
      <c r="M62" s="6">
        <f t="shared" si="46"/>
        <v>1684.9063640310915</v>
      </c>
      <c r="O62" s="6">
        <f t="shared" si="47"/>
        <v>0.12163382957195532</v>
      </c>
      <c r="P62" s="6">
        <f t="shared" si="48"/>
        <v>0.49376711652301281</v>
      </c>
      <c r="Q62" s="6">
        <f t="shared" si="49"/>
        <v>5.3760216354626616E-3</v>
      </c>
      <c r="R62" s="6">
        <f t="shared" si="50"/>
        <v>7.7054785779305151E-3</v>
      </c>
      <c r="S62" s="6">
        <f t="shared" si="51"/>
        <v>5.3379147949607856E-3</v>
      </c>
      <c r="T62" s="6">
        <f t="shared" si="52"/>
        <v>0.36617963889667793</v>
      </c>
      <c r="V62" s="6">
        <f t="shared" si="53"/>
        <v>21.28592017509218</v>
      </c>
      <c r="W62" s="6">
        <f t="shared" si="54"/>
        <v>86.409245391527236</v>
      </c>
      <c r="X62" s="6">
        <f t="shared" si="55"/>
        <v>0.94080378620596583</v>
      </c>
      <c r="Y62" s="6">
        <f t="shared" si="56"/>
        <v>1.3484587511378401</v>
      </c>
      <c r="Z62" s="6">
        <f t="shared" si="57"/>
        <v>0.93413508911813747</v>
      </c>
      <c r="AA62" s="6">
        <f t="shared" si="58"/>
        <v>64.081436806918632</v>
      </c>
      <c r="AC62" s="14">
        <f t="shared" si="59"/>
        <v>0.21936348697338895</v>
      </c>
      <c r="AD62" s="17"/>
      <c r="AE62" s="15">
        <f t="shared" si="60"/>
        <v>0.10070165448307868</v>
      </c>
    </row>
    <row r="63" spans="2:31" x14ac:dyDescent="0.2">
      <c r="B63" s="6">
        <f t="shared" si="36"/>
        <v>48</v>
      </c>
      <c r="C63" s="6">
        <f t="shared" si="37"/>
        <v>1.6529007517040604</v>
      </c>
      <c r="D63" s="6">
        <f t="shared" si="38"/>
        <v>41.763358390135323</v>
      </c>
      <c r="E63" s="6">
        <f t="shared" si="39"/>
        <v>0.35209778609225695</v>
      </c>
      <c r="F63" s="6">
        <f t="shared" si="40"/>
        <v>0.16448823780383137</v>
      </c>
      <c r="H63" s="6">
        <f t="shared" si="41"/>
        <v>559.1614387905978</v>
      </c>
      <c r="I63" s="6">
        <f t="shared" si="42"/>
        <v>2270.7583378863678</v>
      </c>
      <c r="J63" s="6">
        <f t="shared" si="43"/>
        <v>25.088772266208046</v>
      </c>
      <c r="K63" s="6">
        <f t="shared" si="44"/>
        <v>35.616904361719378</v>
      </c>
      <c r="L63" s="6">
        <f t="shared" si="45"/>
        <v>25.075032632408789</v>
      </c>
      <c r="M63" s="6">
        <f t="shared" si="46"/>
        <v>1684.9063640310915</v>
      </c>
      <c r="O63" s="6">
        <f t="shared" si="47"/>
        <v>0.12154080038254939</v>
      </c>
      <c r="P63" s="6">
        <f t="shared" si="48"/>
        <v>0.49357800219376891</v>
      </c>
      <c r="Q63" s="6">
        <f t="shared" si="49"/>
        <v>5.4533614986858542E-3</v>
      </c>
      <c r="R63" s="6">
        <f t="shared" si="50"/>
        <v>7.7417839696439332E-3</v>
      </c>
      <c r="S63" s="6">
        <f t="shared" si="51"/>
        <v>5.4503750157614654E-3</v>
      </c>
      <c r="T63" s="6">
        <f t="shared" si="52"/>
        <v>0.36623567693959047</v>
      </c>
      <c r="V63" s="6">
        <f t="shared" si="53"/>
        <v>21.269640066946142</v>
      </c>
      <c r="W63" s="6">
        <f t="shared" si="54"/>
        <v>86.376150383909561</v>
      </c>
      <c r="X63" s="6">
        <f t="shared" si="55"/>
        <v>0.9543382622700245</v>
      </c>
      <c r="Y63" s="6">
        <f t="shared" si="56"/>
        <v>1.3548121946876883</v>
      </c>
      <c r="Z63" s="6">
        <f t="shared" si="57"/>
        <v>0.95381562775825646</v>
      </c>
      <c r="AA63" s="6">
        <f t="shared" si="58"/>
        <v>64.091243464428331</v>
      </c>
      <c r="AC63" s="14">
        <f t="shared" si="59"/>
        <v>0.21301810512776478</v>
      </c>
      <c r="AD63" s="17"/>
      <c r="AE63" s="15">
        <f t="shared" si="60"/>
        <v>9.9514890796832164E-2</v>
      </c>
    </row>
    <row r="64" spans="2:31" x14ac:dyDescent="0.2">
      <c r="B64" s="6">
        <f t="shared" si="36"/>
        <v>49</v>
      </c>
      <c r="C64" s="6">
        <f t="shared" si="37"/>
        <v>1.7024877742551823</v>
      </c>
      <c r="D64" s="6">
        <f t="shared" si="38"/>
        <v>43.416259141839383</v>
      </c>
      <c r="E64" s="6">
        <f t="shared" si="39"/>
        <v>0.35219782934135418</v>
      </c>
      <c r="F64" s="6">
        <f t="shared" si="40"/>
        <v>0.16742450331996858</v>
      </c>
      <c r="H64" s="6">
        <f t="shared" si="41"/>
        <v>558.64485276670166</v>
      </c>
      <c r="I64" s="6">
        <f t="shared" si="42"/>
        <v>2269.5375562902873</v>
      </c>
      <c r="J64" s="6">
        <f t="shared" si="43"/>
        <v>25.440870052300305</v>
      </c>
      <c r="K64" s="6">
        <f t="shared" si="44"/>
        <v>35.781392599523208</v>
      </c>
      <c r="L64" s="6">
        <f t="shared" si="45"/>
        <v>25.591618656304878</v>
      </c>
      <c r="M64" s="6">
        <f t="shared" si="46"/>
        <v>1684.9063640310915</v>
      </c>
      <c r="O64" s="6">
        <f t="shared" si="47"/>
        <v>0.12144710328441294</v>
      </c>
      <c r="P64" s="6">
        <f t="shared" si="48"/>
        <v>0.49338817075210273</v>
      </c>
      <c r="Q64" s="6">
        <f t="shared" si="49"/>
        <v>5.5307409664389334E-3</v>
      </c>
      <c r="R64" s="6">
        <f t="shared" si="50"/>
        <v>7.7787282227214727E-3</v>
      </c>
      <c r="S64" s="6">
        <f t="shared" si="51"/>
        <v>5.5635130956187759E-3</v>
      </c>
      <c r="T64" s="6">
        <f t="shared" si="52"/>
        <v>0.3662917436787051</v>
      </c>
      <c r="V64" s="6">
        <f t="shared" si="53"/>
        <v>21.253243074772264</v>
      </c>
      <c r="W64" s="6">
        <f t="shared" si="54"/>
        <v>86.342929881617977</v>
      </c>
      <c r="X64" s="6">
        <f t="shared" si="55"/>
        <v>0.96787966912681334</v>
      </c>
      <c r="Y64" s="6">
        <f t="shared" si="56"/>
        <v>1.3612774389762576</v>
      </c>
      <c r="Z64" s="6">
        <f t="shared" si="57"/>
        <v>0.9736147917332858</v>
      </c>
      <c r="AA64" s="6">
        <f t="shared" si="58"/>
        <v>64.101055143773394</v>
      </c>
      <c r="AC64" s="14">
        <f t="shared" si="59"/>
        <v>0.2068724572753167</v>
      </c>
      <c r="AD64" s="17"/>
      <c r="AE64" s="15">
        <f t="shared" si="60"/>
        <v>9.8341089934237416E-2</v>
      </c>
    </row>
    <row r="65" spans="2:31" x14ac:dyDescent="0.2">
      <c r="B65" s="6">
        <f t="shared" si="36"/>
        <v>50</v>
      </c>
      <c r="C65" s="6">
        <f t="shared" si="37"/>
        <v>1.7535624074828378</v>
      </c>
      <c r="D65" s="6">
        <f t="shared" si="38"/>
        <v>45.118746916094565</v>
      </c>
      <c r="E65" s="6">
        <f t="shared" si="39"/>
        <v>0.35232385523602072</v>
      </c>
      <c r="F65" s="6">
        <f t="shared" si="40"/>
        <v>0.17041095418878527</v>
      </c>
      <c r="H65" s="6">
        <f t="shared" si="41"/>
        <v>558.12523043404042</v>
      </c>
      <c r="I65" s="6">
        <f t="shared" si="42"/>
        <v>2268.3135382989431</v>
      </c>
      <c r="J65" s="6">
        <f t="shared" si="43"/>
        <v>25.793067881641658</v>
      </c>
      <c r="K65" s="6">
        <f t="shared" si="44"/>
        <v>35.948817102843179</v>
      </c>
      <c r="L65" s="6">
        <f t="shared" si="45"/>
        <v>26.111240988966198</v>
      </c>
      <c r="M65" s="6">
        <f t="shared" si="46"/>
        <v>1684.9063640310915</v>
      </c>
      <c r="O65" s="6">
        <f t="shared" si="47"/>
        <v>0.12135272259109897</v>
      </c>
      <c r="P65" s="6">
        <f t="shared" si="48"/>
        <v>0.49319759894882031</v>
      </c>
      <c r="Q65" s="6">
        <f t="shared" si="49"/>
        <v>5.6081661260503745E-3</v>
      </c>
      <c r="R65" s="6">
        <f t="shared" si="50"/>
        <v>7.8163225589477168E-3</v>
      </c>
      <c r="S65" s="6">
        <f t="shared" si="51"/>
        <v>5.6773462503731465E-3</v>
      </c>
      <c r="T65" s="6">
        <f t="shared" si="52"/>
        <v>0.3663478435247095</v>
      </c>
      <c r="V65" s="6">
        <f t="shared" si="53"/>
        <v>21.236726453442319</v>
      </c>
      <c r="W65" s="6">
        <f t="shared" si="54"/>
        <v>86.309579816043552</v>
      </c>
      <c r="X65" s="6">
        <f t="shared" si="55"/>
        <v>0.98142907205881558</v>
      </c>
      <c r="Y65" s="6">
        <f t="shared" si="56"/>
        <v>1.3678564478158504</v>
      </c>
      <c r="Z65" s="6">
        <f t="shared" si="57"/>
        <v>0.99353559381530065</v>
      </c>
      <c r="AA65" s="6">
        <f t="shared" si="58"/>
        <v>64.110872616824167</v>
      </c>
      <c r="AC65" s="14">
        <f t="shared" si="59"/>
        <v>0.20091891439539139</v>
      </c>
      <c r="AD65" s="17"/>
      <c r="AE65" s="15">
        <f t="shared" si="60"/>
        <v>9.7179862810473194E-2</v>
      </c>
    </row>
    <row r="66" spans="2:31" x14ac:dyDescent="0.2">
      <c r="B66" s="6">
        <f t="shared" si="36"/>
        <v>51</v>
      </c>
      <c r="C66" s="6">
        <f t="shared" si="37"/>
        <v>1.806169279707323</v>
      </c>
      <c r="D66" s="6">
        <f t="shared" si="38"/>
        <v>46.872309323577404</v>
      </c>
      <c r="E66" s="6">
        <f t="shared" si="39"/>
        <v>0.35247435138083255</v>
      </c>
      <c r="F66" s="6">
        <f t="shared" si="40"/>
        <v>0.17344794827120977</v>
      </c>
      <c r="H66" s="6">
        <f t="shared" si="41"/>
        <v>557.60249562461559</v>
      </c>
      <c r="I66" s="6">
        <f t="shared" si="42"/>
        <v>2267.0861557790463</v>
      </c>
      <c r="J66" s="6">
        <f t="shared" si="43"/>
        <v>26.145391736877677</v>
      </c>
      <c r="K66" s="6">
        <f t="shared" si="44"/>
        <v>36.119228057031961</v>
      </c>
      <c r="L66" s="6">
        <f t="shared" si="45"/>
        <v>26.633975798391003</v>
      </c>
      <c r="M66" s="6">
        <f t="shared" si="46"/>
        <v>1684.9063640310915</v>
      </c>
      <c r="O66" s="6">
        <f t="shared" si="47"/>
        <v>0.12125764278273674</v>
      </c>
      <c r="P66" s="6">
        <f t="shared" si="48"/>
        <v>0.49300626412585197</v>
      </c>
      <c r="Q66" s="6">
        <f t="shared" si="49"/>
        <v>5.6856427231260663E-3</v>
      </c>
      <c r="R66" s="6">
        <f t="shared" si="50"/>
        <v>7.8545782841622537E-3</v>
      </c>
      <c r="S66" s="6">
        <f t="shared" si="51"/>
        <v>5.7918914434334553E-3</v>
      </c>
      <c r="T66" s="6">
        <f t="shared" si="52"/>
        <v>0.36640398064068963</v>
      </c>
      <c r="V66" s="6">
        <f t="shared" si="53"/>
        <v>21.22008748697893</v>
      </c>
      <c r="W66" s="6">
        <f t="shared" si="54"/>
        <v>86.276096222024094</v>
      </c>
      <c r="X66" s="6">
        <f t="shared" si="55"/>
        <v>0.99498747654706154</v>
      </c>
      <c r="Y66" s="6">
        <f t="shared" si="56"/>
        <v>1.3745511997283943</v>
      </c>
      <c r="Z66" s="6">
        <f t="shared" si="57"/>
        <v>1.0135810026008547</v>
      </c>
      <c r="AA66" s="6">
        <f t="shared" si="58"/>
        <v>64.120696612120682</v>
      </c>
      <c r="AC66" s="14">
        <f t="shared" si="59"/>
        <v>0.19515023056861455</v>
      </c>
      <c r="AD66" s="17"/>
      <c r="AE66" s="15">
        <f t="shared" si="60"/>
        <v>9.6030837319587115E-2</v>
      </c>
    </row>
    <row r="67" spans="2:31" x14ac:dyDescent="0.2">
      <c r="B67" s="6">
        <f t="shared" si="36"/>
        <v>52</v>
      </c>
      <c r="C67" s="6">
        <f t="shared" si="37"/>
        <v>1.8603543580985427</v>
      </c>
      <c r="D67" s="6">
        <f t="shared" si="38"/>
        <v>48.678478603284731</v>
      </c>
      <c r="E67" s="6">
        <f t="shared" si="39"/>
        <v>0.35264787603533321</v>
      </c>
      <c r="F67" s="6">
        <f t="shared" si="40"/>
        <v>0.17653582899009623</v>
      </c>
      <c r="H67" s="6">
        <f t="shared" si="41"/>
        <v>557.07657332496353</v>
      </c>
      <c r="I67" s="6">
        <f t="shared" si="42"/>
        <v>2265.8552847766327</v>
      </c>
      <c r="J67" s="6">
        <f t="shared" si="43"/>
        <v>26.497866088258508</v>
      </c>
      <c r="K67" s="6">
        <f t="shared" si="44"/>
        <v>36.292676005303171</v>
      </c>
      <c r="L67" s="6">
        <f t="shared" si="45"/>
        <v>27.159898098043044</v>
      </c>
      <c r="M67" s="6">
        <f t="shared" si="46"/>
        <v>1684.9063640310915</v>
      </c>
      <c r="O67" s="6">
        <f t="shared" si="47"/>
        <v>0.12116184849682674</v>
      </c>
      <c r="P67" s="6">
        <f t="shared" si="48"/>
        <v>0.49281414418712943</v>
      </c>
      <c r="Q67" s="6">
        <f t="shared" si="49"/>
        <v>5.7631761775808121E-3</v>
      </c>
      <c r="R67" s="6">
        <f t="shared" si="50"/>
        <v>7.8935067857069264E-3</v>
      </c>
      <c r="S67" s="6">
        <f t="shared" si="51"/>
        <v>5.9071653990101112E-3</v>
      </c>
      <c r="T67" s="6">
        <f t="shared" si="52"/>
        <v>0.36646015895374606</v>
      </c>
      <c r="V67" s="6">
        <f t="shared" si="53"/>
        <v>21.203323486944679</v>
      </c>
      <c r="W67" s="6">
        <f t="shared" si="54"/>
        <v>86.242475232747651</v>
      </c>
      <c r="X67" s="6">
        <f t="shared" si="55"/>
        <v>1.008555831076642</v>
      </c>
      <c r="Y67" s="6">
        <f t="shared" si="56"/>
        <v>1.3813636874987121</v>
      </c>
      <c r="Z67" s="6">
        <f t="shared" si="57"/>
        <v>1.0337539448267694</v>
      </c>
      <c r="AA67" s="6">
        <f t="shared" si="58"/>
        <v>64.130527816905555</v>
      </c>
      <c r="AC67" s="14">
        <f t="shared" si="59"/>
        <v>0.18955951832519291</v>
      </c>
      <c r="AD67" s="17"/>
      <c r="AE67" s="15">
        <f t="shared" si="60"/>
        <v>9.4893657340923199E-2</v>
      </c>
    </row>
    <row r="68" spans="2:31" x14ac:dyDescent="0.2">
      <c r="B68" s="6">
        <f t="shared" si="36"/>
        <v>53</v>
      </c>
      <c r="C68" s="6">
        <f t="shared" si="37"/>
        <v>1.9161649888414989</v>
      </c>
      <c r="D68" s="6">
        <f t="shared" si="38"/>
        <v>50.538832961383271</v>
      </c>
      <c r="E68" s="6">
        <f t="shared" si="39"/>
        <v>0.35284305392412912</v>
      </c>
      <c r="F68" s="6">
        <f t="shared" si="40"/>
        <v>0.17967492383281441</v>
      </c>
      <c r="H68" s="6">
        <f t="shared" si="41"/>
        <v>556.54738961993814</v>
      </c>
      <c r="I68" s="6">
        <f t="shared" si="42"/>
        <v>2264.6208053195369</v>
      </c>
      <c r="J68" s="6">
        <f t="shared" si="43"/>
        <v>26.850513964293842</v>
      </c>
      <c r="K68" s="6">
        <f t="shared" si="44"/>
        <v>36.469211834293269</v>
      </c>
      <c r="L68" s="6">
        <f t="shared" si="45"/>
        <v>27.689081803068476</v>
      </c>
      <c r="M68" s="6">
        <f t="shared" si="46"/>
        <v>1684.9063640310915</v>
      </c>
      <c r="O68" s="6">
        <f t="shared" si="47"/>
        <v>0.12106532452008222</v>
      </c>
      <c r="P68" s="6">
        <f t="shared" si="48"/>
        <v>0.49262121757172594</v>
      </c>
      <c r="Q68" s="6">
        <f t="shared" si="49"/>
        <v>5.8407715986918702E-3</v>
      </c>
      <c r="R68" s="6">
        <f t="shared" si="50"/>
        <v>7.9331195295434115E-3</v>
      </c>
      <c r="S68" s="6">
        <f t="shared" si="51"/>
        <v>6.0231846140555451E-3</v>
      </c>
      <c r="T68" s="6">
        <f t="shared" si="52"/>
        <v>0.36651638216590104</v>
      </c>
      <c r="V68" s="6">
        <f t="shared" si="53"/>
        <v>21.186431791014389</v>
      </c>
      <c r="W68" s="6">
        <f t="shared" si="54"/>
        <v>86.208713075052046</v>
      </c>
      <c r="X68" s="6">
        <f t="shared" si="55"/>
        <v>1.0221350297710772</v>
      </c>
      <c r="Y68" s="6">
        <f t="shared" si="56"/>
        <v>1.3882959176700971</v>
      </c>
      <c r="Z68" s="6">
        <f t="shared" si="57"/>
        <v>1.0540573074597204</v>
      </c>
      <c r="AA68" s="6">
        <f t="shared" si="58"/>
        <v>64.140366879032683</v>
      </c>
      <c r="AC68" s="14">
        <f t="shared" si="59"/>
        <v>0.1841402259089682</v>
      </c>
      <c r="AD68" s="17"/>
      <c r="AE68" s="15">
        <f t="shared" si="60"/>
        <v>9.3767981817392834E-2</v>
      </c>
    </row>
    <row r="69" spans="2:31" x14ac:dyDescent="0.2">
      <c r="B69" s="6">
        <f t="shared" si="36"/>
        <v>54</v>
      </c>
      <c r="C69" s="6">
        <f t="shared" si="37"/>
        <v>1.9736499385067439</v>
      </c>
      <c r="D69" s="6">
        <f t="shared" si="38"/>
        <v>52.454997950224772</v>
      </c>
      <c r="E69" s="6">
        <f t="shared" si="39"/>
        <v>0.35305857240435384</v>
      </c>
      <c r="F69" s="6">
        <f t="shared" si="40"/>
        <v>0.18286554280098494</v>
      </c>
      <c r="H69" s="6">
        <f t="shared" si="41"/>
        <v>556.01487164218111</v>
      </c>
      <c r="I69" s="6">
        <f t="shared" si="42"/>
        <v>2263.3826012339318</v>
      </c>
      <c r="J69" s="6">
        <f t="shared" si="43"/>
        <v>27.203357018217972</v>
      </c>
      <c r="K69" s="6">
        <f t="shared" si="44"/>
        <v>36.648886758126082</v>
      </c>
      <c r="L69" s="6">
        <f t="shared" si="45"/>
        <v>28.221599780825418</v>
      </c>
      <c r="M69" s="6">
        <f t="shared" si="46"/>
        <v>1684.9063640310915</v>
      </c>
      <c r="O69" s="6">
        <f t="shared" si="47"/>
        <v>0.12096805578126615</v>
      </c>
      <c r="P69" s="6">
        <f t="shared" si="48"/>
        <v>0.49242746322910119</v>
      </c>
      <c r="Q69" s="6">
        <f t="shared" si="49"/>
        <v>5.9184337992585516E-3</v>
      </c>
      <c r="R69" s="6">
        <f t="shared" si="50"/>
        <v>7.9734280570310807E-3</v>
      </c>
      <c r="S69" s="6">
        <f t="shared" si="51"/>
        <v>6.1399653689846864E-3</v>
      </c>
      <c r="T69" s="6">
        <f t="shared" si="52"/>
        <v>0.36657265376435832</v>
      </c>
      <c r="V69" s="6">
        <f t="shared" si="53"/>
        <v>21.169409761721578</v>
      </c>
      <c r="W69" s="6">
        <f t="shared" si="54"/>
        <v>86.17480606509271</v>
      </c>
      <c r="X69" s="6">
        <f t="shared" si="55"/>
        <v>1.0357259148702465</v>
      </c>
      <c r="Y69" s="6">
        <f t="shared" si="56"/>
        <v>1.3953499099804392</v>
      </c>
      <c r="Z69" s="6">
        <f t="shared" si="57"/>
        <v>1.0744939395723201</v>
      </c>
      <c r="AA69" s="6">
        <f t="shared" si="58"/>
        <v>64.150214408762707</v>
      </c>
      <c r="AC69" s="14">
        <f t="shared" si="59"/>
        <v>0.17888611628436835</v>
      </c>
      <c r="AD69" s="17"/>
      <c r="AE69" s="15">
        <f t="shared" si="60"/>
        <v>9.2653483899652597E-2</v>
      </c>
    </row>
    <row r="70" spans="2:31" x14ac:dyDescent="0.2">
      <c r="B70" s="6">
        <f t="shared" si="36"/>
        <v>55</v>
      </c>
      <c r="C70" s="6">
        <f t="shared" si="37"/>
        <v>2.0328594366619464</v>
      </c>
      <c r="D70" s="6">
        <f t="shared" si="38"/>
        <v>54.428647888731518</v>
      </c>
      <c r="E70" s="6">
        <f t="shared" si="39"/>
        <v>0.35329317795941412</v>
      </c>
      <c r="F70" s="6">
        <f t="shared" si="40"/>
        <v>0.18610797680409558</v>
      </c>
      <c r="H70" s="6">
        <f t="shared" si="41"/>
        <v>555.47894752697573</v>
      </c>
      <c r="I70" s="6">
        <f t="shared" si="42"/>
        <v>2262.1405599739178</v>
      </c>
      <c r="J70" s="6">
        <f t="shared" si="43"/>
        <v>27.556415590622326</v>
      </c>
      <c r="K70" s="6">
        <f t="shared" si="44"/>
        <v>36.831752300927064</v>
      </c>
      <c r="L70" s="6">
        <f t="shared" si="45"/>
        <v>28.757523896030758</v>
      </c>
      <c r="M70" s="6">
        <f t="shared" si="46"/>
        <v>1684.9063640310915</v>
      </c>
      <c r="O70" s="6">
        <f t="shared" si="47"/>
        <v>0.12087002734497845</v>
      </c>
      <c r="P70" s="6">
        <f t="shared" si="48"/>
        <v>0.49223286059631266</v>
      </c>
      <c r="Q70" s="6">
        <f t="shared" si="49"/>
        <v>5.996167308944431E-3</v>
      </c>
      <c r="R70" s="6">
        <f t="shared" si="50"/>
        <v>8.0144439813541832E-3</v>
      </c>
      <c r="S70" s="6">
        <f t="shared" si="51"/>
        <v>6.2575237372399384E-3</v>
      </c>
      <c r="T70" s="6">
        <f t="shared" si="52"/>
        <v>0.36662897703117031</v>
      </c>
      <c r="V70" s="6">
        <f t="shared" si="53"/>
        <v>21.15225478537123</v>
      </c>
      <c r="W70" s="6">
        <f t="shared" si="54"/>
        <v>86.140750604354722</v>
      </c>
      <c r="X70" s="6">
        <f t="shared" si="55"/>
        <v>1.0493292790652755</v>
      </c>
      <c r="Y70" s="6">
        <f t="shared" si="56"/>
        <v>1.402527696736982</v>
      </c>
      <c r="Z70" s="6">
        <f t="shared" si="57"/>
        <v>1.0950666540169893</v>
      </c>
      <c r="AA70" s="6">
        <f t="shared" si="58"/>
        <v>64.160070980454805</v>
      </c>
      <c r="AC70" s="14">
        <f t="shared" si="59"/>
        <v>0.17379124773109675</v>
      </c>
      <c r="AD70" s="17"/>
      <c r="AE70" s="15">
        <f t="shared" si="60"/>
        <v>9.1549850150826895E-2</v>
      </c>
    </row>
    <row r="71" spans="2:31" x14ac:dyDescent="0.2">
      <c r="B71" s="6">
        <f t="shared" si="36"/>
        <v>56</v>
      </c>
      <c r="C71" s="6">
        <f t="shared" si="37"/>
        <v>2.0938452197618047</v>
      </c>
      <c r="D71" s="6">
        <f t="shared" si="38"/>
        <v>56.461507325393463</v>
      </c>
      <c r="E71" s="6">
        <f t="shared" si="39"/>
        <v>0.35354567299110978</v>
      </c>
      <c r="F71" s="6">
        <f t="shared" si="40"/>
        <v>0.18940249599377323</v>
      </c>
      <c r="H71" s="6">
        <f t="shared" si="41"/>
        <v>554.93954637221225</v>
      </c>
      <c r="I71" s="6">
        <f t="shared" si="42"/>
        <v>2260.8945724632354</v>
      </c>
      <c r="J71" s="6">
        <f t="shared" si="43"/>
        <v>27.909708768581741</v>
      </c>
      <c r="K71" s="6">
        <f t="shared" si="44"/>
        <v>37.01786027773116</v>
      </c>
      <c r="L71" s="6">
        <f t="shared" si="45"/>
        <v>29.296925050794268</v>
      </c>
      <c r="M71" s="6">
        <f t="shared" si="46"/>
        <v>1684.9063640310915</v>
      </c>
      <c r="O71" s="6">
        <f t="shared" si="47"/>
        <v>0.12077122440635367</v>
      </c>
      <c r="P71" s="6">
        <f t="shared" si="48"/>
        <v>0.49203738957706594</v>
      </c>
      <c r="Q71" s="6">
        <f t="shared" si="49"/>
        <v>6.0739763868721541E-3</v>
      </c>
      <c r="R71" s="6">
        <f t="shared" si="50"/>
        <v>8.0561789835866329E-3</v>
      </c>
      <c r="S71" s="6">
        <f t="shared" si="51"/>
        <v>6.3758755937577752E-3</v>
      </c>
      <c r="T71" s="6">
        <f t="shared" si="52"/>
        <v>0.36668535505236383</v>
      </c>
      <c r="V71" s="6">
        <f t="shared" si="53"/>
        <v>21.134964271111894</v>
      </c>
      <c r="W71" s="6">
        <f t="shared" si="54"/>
        <v>86.106543175986545</v>
      </c>
      <c r="X71" s="6">
        <f t="shared" si="55"/>
        <v>1.0629458677026269</v>
      </c>
      <c r="Y71" s="6">
        <f t="shared" si="56"/>
        <v>1.4098313221276608</v>
      </c>
      <c r="Z71" s="6">
        <f t="shared" si="57"/>
        <v>1.1157782289076106</v>
      </c>
      <c r="AA71" s="6">
        <f t="shared" si="58"/>
        <v>64.169937134163675</v>
      </c>
      <c r="AC71" s="14">
        <f t="shared" si="59"/>
        <v>0.16884995588705887</v>
      </c>
      <c r="AD71" s="17"/>
      <c r="AE71" s="15">
        <f t="shared" si="60"/>
        <v>9.0456779806923654E-2</v>
      </c>
    </row>
    <row r="72" spans="2:31" x14ac:dyDescent="0.2">
      <c r="B72" s="6">
        <f t="shared" si="36"/>
        <v>57</v>
      </c>
      <c r="C72" s="6">
        <f t="shared" si="37"/>
        <v>2.1566605763546587</v>
      </c>
      <c r="D72" s="6">
        <f t="shared" si="38"/>
        <v>58.555352545155266</v>
      </c>
      <c r="E72" s="6">
        <f t="shared" si="39"/>
        <v>0.35381491288505873</v>
      </c>
      <c r="F72" s="6">
        <f t="shared" si="40"/>
        <v>0.19274934803552232</v>
      </c>
      <c r="H72" s="6">
        <f t="shared" si="41"/>
        <v>554.39659820322731</v>
      </c>
      <c r="I72" s="6">
        <f t="shared" si="42"/>
        <v>2259.6445329482681</v>
      </c>
      <c r="J72" s="6">
        <f t="shared" si="43"/>
        <v>28.263254441572851</v>
      </c>
      <c r="K72" s="6">
        <f t="shared" si="44"/>
        <v>37.207262773724935</v>
      </c>
      <c r="L72" s="6">
        <f t="shared" si="45"/>
        <v>29.83987321977915</v>
      </c>
      <c r="M72" s="6">
        <f t="shared" si="46"/>
        <v>1684.9063640310915</v>
      </c>
      <c r="O72" s="6">
        <f t="shared" si="47"/>
        <v>0.12067163228663486</v>
      </c>
      <c r="P72" s="6">
        <f t="shared" si="48"/>
        <v>0.49184103052249001</v>
      </c>
      <c r="Q72" s="6">
        <f t="shared" si="49"/>
        <v>6.1518650335348046E-3</v>
      </c>
      <c r="R72" s="6">
        <f t="shared" si="50"/>
        <v>8.0986448083818635E-3</v>
      </c>
      <c r="S72" s="6">
        <f t="shared" si="51"/>
        <v>6.4950366223874697E-3</v>
      </c>
      <c r="T72" s="6">
        <f t="shared" si="52"/>
        <v>0.36674179072657087</v>
      </c>
      <c r="V72" s="6">
        <f t="shared" si="53"/>
        <v>21.117535650161098</v>
      </c>
      <c r="W72" s="6">
        <f t="shared" si="54"/>
        <v>86.072180341435754</v>
      </c>
      <c r="X72" s="6">
        <f t="shared" si="55"/>
        <v>1.0765763808685909</v>
      </c>
      <c r="Y72" s="6">
        <f t="shared" si="56"/>
        <v>1.417262841466826</v>
      </c>
      <c r="Z72" s="6">
        <f t="shared" si="57"/>
        <v>1.1366314089178071</v>
      </c>
      <c r="AA72" s="6">
        <f t="shared" si="58"/>
        <v>64.179813377149898</v>
      </c>
      <c r="AC72" s="14">
        <f t="shared" si="59"/>
        <v>0.16405683711393376</v>
      </c>
      <c r="AD72" s="17"/>
      <c r="AE72" s="15">
        <f t="shared" si="60"/>
        <v>8.9373984088549061E-2</v>
      </c>
    </row>
    <row r="73" spans="2:31" x14ac:dyDescent="0.2">
      <c r="B73" s="6">
        <f t="shared" si="36"/>
        <v>58</v>
      </c>
      <c r="C73" s="6">
        <f t="shared" si="37"/>
        <v>2.2213603936452984</v>
      </c>
      <c r="D73" s="6">
        <f t="shared" si="38"/>
        <v>60.712013121509926</v>
      </c>
      <c r="E73" s="6">
        <f t="shared" si="39"/>
        <v>0.35409980332687274</v>
      </c>
      <c r="F73" s="6">
        <f t="shared" si="40"/>
        <v>0.19614875631476983</v>
      </c>
      <c r="H73" s="6">
        <f t="shared" si="41"/>
        <v>553.85003394230682</v>
      </c>
      <c r="I73" s="6">
        <f t="shared" si="42"/>
        <v>2258.3903388615772</v>
      </c>
      <c r="J73" s="6">
        <f t="shared" si="43"/>
        <v>28.617069354457911</v>
      </c>
      <c r="K73" s="6">
        <f t="shared" si="44"/>
        <v>37.400012121760454</v>
      </c>
      <c r="L73" s="6">
        <f t="shared" si="45"/>
        <v>30.386437480699733</v>
      </c>
      <c r="M73" s="6">
        <f t="shared" si="46"/>
        <v>1684.9063640310915</v>
      </c>
      <c r="O73" s="6">
        <f t="shared" si="47"/>
        <v>0.12057123642959409</v>
      </c>
      <c r="P73" s="6">
        <f t="shared" si="48"/>
        <v>0.49164376421353589</v>
      </c>
      <c r="Q73" s="6">
        <f t="shared" si="49"/>
        <v>6.2298370020825089E-3</v>
      </c>
      <c r="R73" s="6">
        <f t="shared" si="50"/>
        <v>8.1418532592745022E-3</v>
      </c>
      <c r="S73" s="6">
        <f t="shared" si="51"/>
        <v>6.6150223223064184E-3</v>
      </c>
      <c r="T73" s="6">
        <f t="shared" si="52"/>
        <v>0.36679828677320658</v>
      </c>
      <c r="V73" s="6">
        <f t="shared" si="53"/>
        <v>21.099966375178965</v>
      </c>
      <c r="W73" s="6">
        <f t="shared" si="54"/>
        <v>86.037658737368787</v>
      </c>
      <c r="X73" s="6">
        <f t="shared" si="55"/>
        <v>1.090221475364439</v>
      </c>
      <c r="Y73" s="6">
        <f t="shared" si="56"/>
        <v>1.424824320373038</v>
      </c>
      <c r="Z73" s="6">
        <f t="shared" si="57"/>
        <v>1.1576289064036231</v>
      </c>
      <c r="AA73" s="6">
        <f t="shared" si="58"/>
        <v>64.189700185311153</v>
      </c>
      <c r="AC73" s="14">
        <f t="shared" si="59"/>
        <v>0.15940673307215478</v>
      </c>
      <c r="AD73" s="17"/>
      <c r="AE73" s="15">
        <f t="shared" si="60"/>
        <v>8.8301185559937739E-2</v>
      </c>
    </row>
    <row r="74" spans="2:31" x14ac:dyDescent="0.2">
      <c r="B74" s="6">
        <f t="shared" si="36"/>
        <v>59</v>
      </c>
      <c r="C74" s="6">
        <f t="shared" si="37"/>
        <v>2.2880012054546572</v>
      </c>
      <c r="D74" s="6">
        <f t="shared" si="38"/>
        <v>62.933373515155225</v>
      </c>
      <c r="E74" s="6">
        <f t="shared" si="39"/>
        <v>0.35439929784875013</v>
      </c>
      <c r="F74" s="6">
        <f t="shared" si="40"/>
        <v>0.19960091807407512</v>
      </c>
      <c r="H74" s="6">
        <f t="shared" si="41"/>
        <v>553.29978538266516</v>
      </c>
      <c r="I74" s="6">
        <f t="shared" si="42"/>
        <v>2257.1318906952815</v>
      </c>
      <c r="J74" s="6">
        <f t="shared" si="43"/>
        <v>28.971169157784782</v>
      </c>
      <c r="K74" s="6">
        <f t="shared" si="44"/>
        <v>37.596160878075224</v>
      </c>
      <c r="L74" s="6">
        <f t="shared" si="45"/>
        <v>30.936686040341375</v>
      </c>
      <c r="M74" s="6">
        <f t="shared" si="46"/>
        <v>1684.9063640310915</v>
      </c>
      <c r="O74" s="6">
        <f t="shared" si="47"/>
        <v>0.12047002239877358</v>
      </c>
      <c r="P74" s="6">
        <f t="shared" si="48"/>
        <v>0.49144557184490434</v>
      </c>
      <c r="Q74" s="6">
        <f t="shared" si="49"/>
        <v>6.3078958090380952E-3</v>
      </c>
      <c r="R74" s="6">
        <f t="shared" si="50"/>
        <v>8.1858161935797445E-3</v>
      </c>
      <c r="S74" s="6">
        <f t="shared" si="51"/>
        <v>6.7358480134709917E-3</v>
      </c>
      <c r="T74" s="6">
        <f t="shared" si="52"/>
        <v>0.36685484574023314</v>
      </c>
      <c r="V74" s="6">
        <f t="shared" si="53"/>
        <v>21.082253919785376</v>
      </c>
      <c r="W74" s="6">
        <f t="shared" si="54"/>
        <v>86.002975072858263</v>
      </c>
      <c r="X74" s="6">
        <f t="shared" si="55"/>
        <v>1.1038817665816667</v>
      </c>
      <c r="Y74" s="6">
        <f t="shared" si="56"/>
        <v>1.4325178338764553</v>
      </c>
      <c r="Z74" s="6">
        <f t="shared" si="57"/>
        <v>1.1787734023574234</v>
      </c>
      <c r="AA74" s="6">
        <f t="shared" si="58"/>
        <v>64.199598004540803</v>
      </c>
      <c r="AC74" s="14">
        <f t="shared" si="59"/>
        <v>0.15489471640305633</v>
      </c>
      <c r="AD74" s="17"/>
      <c r="AE74" s="15">
        <f t="shared" si="60"/>
        <v>8.7238117531678344E-2</v>
      </c>
    </row>
    <row r="75" spans="2:31" x14ac:dyDescent="0.2">
      <c r="B75" s="6">
        <f t="shared" si="36"/>
        <v>60</v>
      </c>
      <c r="C75" s="6">
        <f t="shared" si="37"/>
        <v>2.3566412416182971</v>
      </c>
      <c r="D75" s="6">
        <f t="shared" si="38"/>
        <v>65.221374720609887</v>
      </c>
      <c r="E75" s="6">
        <f t="shared" si="39"/>
        <v>0.35471239558816614</v>
      </c>
      <c r="F75" s="6">
        <f t="shared" si="40"/>
        <v>0.2031060024783895</v>
      </c>
      <c r="H75" s="6">
        <f t="shared" si="41"/>
        <v>552.74578516674228</v>
      </c>
      <c r="I75" s="6">
        <f t="shared" si="42"/>
        <v>2255.8690918836614</v>
      </c>
      <c r="J75" s="6">
        <f t="shared" si="43"/>
        <v>29.325568455633533</v>
      </c>
      <c r="K75" s="6">
        <f t="shared" si="44"/>
        <v>37.7957617961493</v>
      </c>
      <c r="L75" s="6">
        <f t="shared" si="45"/>
        <v>31.490686256264201</v>
      </c>
      <c r="M75" s="6">
        <f t="shared" si="46"/>
        <v>1684.9063640310915</v>
      </c>
      <c r="O75" s="6">
        <f t="shared" si="47"/>
        <v>0.12036797587552679</v>
      </c>
      <c r="P75" s="6">
        <f t="shared" si="48"/>
        <v>0.49124643501042264</v>
      </c>
      <c r="Q75" s="6">
        <f t="shared" si="49"/>
        <v>6.3860447444913267E-3</v>
      </c>
      <c r="R75" s="6">
        <f t="shared" si="50"/>
        <v>8.2305455168756765E-3</v>
      </c>
      <c r="S75" s="6">
        <f t="shared" si="51"/>
        <v>6.8575288411368935E-3</v>
      </c>
      <c r="T75" s="6">
        <f t="shared" si="52"/>
        <v>0.36691147001154667</v>
      </c>
      <c r="V75" s="6">
        <f t="shared" si="53"/>
        <v>21.06439577821719</v>
      </c>
      <c r="W75" s="6">
        <f t="shared" si="54"/>
        <v>85.968126126823961</v>
      </c>
      <c r="X75" s="6">
        <f t="shared" si="55"/>
        <v>1.1175578302859821</v>
      </c>
      <c r="Y75" s="6">
        <f t="shared" si="56"/>
        <v>1.4403454654532435</v>
      </c>
      <c r="Z75" s="6">
        <f t="shared" si="57"/>
        <v>1.2000675471989564</v>
      </c>
      <c r="AA75" s="6">
        <f t="shared" si="58"/>
        <v>64.209507252020671</v>
      </c>
      <c r="AC75" s="14">
        <f t="shared" si="59"/>
        <v>0.15051607742576312</v>
      </c>
      <c r="AD75" s="17"/>
      <c r="AE75" s="15">
        <f t="shared" si="60"/>
        <v>8.6184523503847935E-2</v>
      </c>
    </row>
    <row r="76" spans="2:31" x14ac:dyDescent="0.2">
      <c r="B76" s="6">
        <f t="shared" si="36"/>
        <v>61</v>
      </c>
      <c r="C76" s="6">
        <f t="shared" si="37"/>
        <v>2.4273404788668462</v>
      </c>
      <c r="D76" s="6">
        <f t="shared" si="38"/>
        <v>67.578015962228179</v>
      </c>
      <c r="E76" s="6">
        <f t="shared" si="39"/>
        <v>0.35503813924209149</v>
      </c>
      <c r="F76" s="6">
        <f t="shared" si="40"/>
        <v>0.20666414860526225</v>
      </c>
      <c r="H76" s="6">
        <f t="shared" si="41"/>
        <v>552.18796676867566</v>
      </c>
      <c r="I76" s="6">
        <f t="shared" si="42"/>
        <v>2254.6018486944185</v>
      </c>
      <c r="J76" s="6">
        <f t="shared" si="43"/>
        <v>29.680280851221699</v>
      </c>
      <c r="K76" s="6">
        <f t="shared" si="44"/>
        <v>37.998867798627693</v>
      </c>
      <c r="L76" s="6">
        <f t="shared" si="45"/>
        <v>32.048504654330756</v>
      </c>
      <c r="M76" s="6">
        <f t="shared" si="46"/>
        <v>1684.9063640310915</v>
      </c>
      <c r="O76" s="6">
        <f t="shared" si="47"/>
        <v>0.12026508265784079</v>
      </c>
      <c r="P76" s="6">
        <f t="shared" si="48"/>
        <v>0.49104633568979217</v>
      </c>
      <c r="Q76" s="6">
        <f t="shared" si="49"/>
        <v>6.4642868818172812E-3</v>
      </c>
      <c r="R76" s="6">
        <f t="shared" si="50"/>
        <v>8.2760531770529819E-3</v>
      </c>
      <c r="S76" s="6">
        <f t="shared" si="51"/>
        <v>6.9800797794783275E-3</v>
      </c>
      <c r="T76" s="6">
        <f t="shared" si="52"/>
        <v>0.36696816181401842</v>
      </c>
      <c r="V76" s="6">
        <f t="shared" si="53"/>
        <v>21.046389465122139</v>
      </c>
      <c r="W76" s="6">
        <f t="shared" si="54"/>
        <v>85.933108745713625</v>
      </c>
      <c r="X76" s="6">
        <f t="shared" si="55"/>
        <v>1.1312502043180241</v>
      </c>
      <c r="Y76" s="6">
        <f t="shared" si="56"/>
        <v>1.4483093059842718</v>
      </c>
      <c r="Z76" s="6">
        <f t="shared" si="57"/>
        <v>1.2215139614087074</v>
      </c>
      <c r="AA76" s="6">
        <f t="shared" si="58"/>
        <v>64.219428317453222</v>
      </c>
      <c r="AC76" s="14">
        <f t="shared" si="59"/>
        <v>0.14626631176514376</v>
      </c>
      <c r="AD76" s="17"/>
      <c r="AE76" s="15">
        <f t="shared" si="60"/>
        <v>8.514015664656123E-2</v>
      </c>
    </row>
    <row r="77" spans="2:31" x14ac:dyDescent="0.2">
      <c r="B77" s="6">
        <f t="shared" si="36"/>
        <v>62</v>
      </c>
      <c r="C77" s="6">
        <f t="shared" si="37"/>
        <v>2.5001606932328517</v>
      </c>
      <c r="D77" s="6">
        <f t="shared" si="38"/>
        <v>70.005356441095032</v>
      </c>
      <c r="E77" s="6">
        <f t="shared" si="39"/>
        <v>0.35537561320177158</v>
      </c>
      <c r="F77" s="6">
        <f t="shared" si="40"/>
        <v>0.21027546335690769</v>
      </c>
      <c r="H77" s="6">
        <f t="shared" si="41"/>
        <v>551.62626448082835</v>
      </c>
      <c r="I77" s="6">
        <f t="shared" si="42"/>
        <v>2253.3300701280868</v>
      </c>
      <c r="J77" s="6">
        <f t="shared" si="43"/>
        <v>30.035318990463789</v>
      </c>
      <c r="K77" s="6">
        <f t="shared" si="44"/>
        <v>38.205531947232956</v>
      </c>
      <c r="L77" s="6">
        <f t="shared" si="45"/>
        <v>32.61020694217811</v>
      </c>
      <c r="M77" s="6">
        <f t="shared" si="46"/>
        <v>1684.9063640310915</v>
      </c>
      <c r="O77" s="6">
        <f t="shared" si="47"/>
        <v>0.12016132865992588</v>
      </c>
      <c r="P77" s="6">
        <f t="shared" si="48"/>
        <v>0.49084525623664388</v>
      </c>
      <c r="Q77" s="6">
        <f t="shared" si="49"/>
        <v>6.542625086960966E-3</v>
      </c>
      <c r="R77" s="6">
        <f t="shared" si="50"/>
        <v>8.3223511579157416E-3</v>
      </c>
      <c r="S77" s="6">
        <f t="shared" si="51"/>
        <v>7.1035156343311609E-3</v>
      </c>
      <c r="T77" s="6">
        <f t="shared" si="52"/>
        <v>0.36702492322422253</v>
      </c>
      <c r="V77" s="6">
        <f t="shared" si="53"/>
        <v>21.02823251548703</v>
      </c>
      <c r="W77" s="6">
        <f t="shared" si="54"/>
        <v>85.897919841412673</v>
      </c>
      <c r="X77" s="6">
        <f t="shared" si="55"/>
        <v>1.1449593902181689</v>
      </c>
      <c r="Y77" s="6">
        <f t="shared" si="56"/>
        <v>1.4564114526352547</v>
      </c>
      <c r="Z77" s="6">
        <f t="shared" si="57"/>
        <v>1.2431152360079532</v>
      </c>
      <c r="AA77" s="6">
        <f t="shared" si="58"/>
        <v>64.229361564238943</v>
      </c>
      <c r="AC77" s="14">
        <f t="shared" si="59"/>
        <v>0.14214110883498871</v>
      </c>
      <c r="AD77" s="17"/>
      <c r="AE77" s="15">
        <f t="shared" si="60"/>
        <v>8.4104779315208503E-2</v>
      </c>
    </row>
    <row r="78" spans="2:31" x14ac:dyDescent="0.2">
      <c r="B78" s="6">
        <f t="shared" si="36"/>
        <v>63</v>
      </c>
      <c r="C78" s="6">
        <f t="shared" si="37"/>
        <v>2.5751655140298375</v>
      </c>
      <c r="D78" s="6">
        <f t="shared" si="38"/>
        <v>72.505517134327889</v>
      </c>
      <c r="E78" s="6">
        <f t="shared" si="39"/>
        <v>0.3557239418545125</v>
      </c>
      <c r="F78" s="6">
        <f t="shared" si="40"/>
        <v>0.21394001929106757</v>
      </c>
      <c r="H78" s="6">
        <f t="shared" si="41"/>
        <v>551.0606134042697</v>
      </c>
      <c r="I78" s="6">
        <f t="shared" si="42"/>
        <v>2252.0536678251246</v>
      </c>
      <c r="J78" s="6">
        <f t="shared" si="43"/>
        <v>30.390694603665562</v>
      </c>
      <c r="K78" s="6">
        <f t="shared" si="44"/>
        <v>38.415807410589863</v>
      </c>
      <c r="L78" s="6">
        <f t="shared" si="45"/>
        <v>33.17585801873679</v>
      </c>
      <c r="M78" s="6">
        <f t="shared" si="46"/>
        <v>1684.9063640310915</v>
      </c>
      <c r="O78" s="6">
        <f t="shared" si="47"/>
        <v>0.12005669991256045</v>
      </c>
      <c r="P78" s="6">
        <f t="shared" si="48"/>
        <v>0.49064317936783824</v>
      </c>
      <c r="Q78" s="6">
        <f t="shared" si="49"/>
        <v>6.6210620273270222E-3</v>
      </c>
      <c r="R78" s="6">
        <f t="shared" si="50"/>
        <v>8.3694514723163266E-3</v>
      </c>
      <c r="S78" s="6">
        <f t="shared" si="51"/>
        <v>7.2278510450813037E-3</v>
      </c>
      <c r="T78" s="6">
        <f t="shared" si="52"/>
        <v>0.36708175617487665</v>
      </c>
      <c r="V78" s="6">
        <f t="shared" si="53"/>
        <v>21.009922484698077</v>
      </c>
      <c r="W78" s="6">
        <f t="shared" si="54"/>
        <v>85.86255638937169</v>
      </c>
      <c r="X78" s="6">
        <f t="shared" si="55"/>
        <v>1.158685854782229</v>
      </c>
      <c r="Y78" s="6">
        <f t="shared" si="56"/>
        <v>1.4646540076553571</v>
      </c>
      <c r="Z78" s="6">
        <f t="shared" si="57"/>
        <v>1.2648739328892282</v>
      </c>
      <c r="AA78" s="6">
        <f t="shared" si="58"/>
        <v>64.23930733060341</v>
      </c>
      <c r="AC78" s="14">
        <f t="shared" si="59"/>
        <v>0.13813634110758399</v>
      </c>
      <c r="AD78" s="17"/>
      <c r="AE78" s="15">
        <f t="shared" si="60"/>
        <v>8.3078162597896896E-2</v>
      </c>
    </row>
    <row r="79" spans="2:31" x14ac:dyDescent="0.2">
      <c r="B79" s="6">
        <f t="shared" si="36"/>
        <v>64</v>
      </c>
      <c r="C79" s="6">
        <f t="shared" si="37"/>
        <v>2.6524204794507327</v>
      </c>
      <c r="D79" s="6">
        <f t="shared" si="38"/>
        <v>75.080682648357723</v>
      </c>
      <c r="E79" s="6">
        <f t="shared" si="39"/>
        <v>0.35608228804018771</v>
      </c>
      <c r="F79" s="6">
        <f t="shared" si="40"/>
        <v>0.21765785236761762</v>
      </c>
      <c r="H79" s="6">
        <f t="shared" si="41"/>
        <v>550.49094944312412</v>
      </c>
      <c r="I79" s="6">
        <f t="shared" si="42"/>
        <v>2250.7725559802702</v>
      </c>
      <c r="J79" s="6">
        <f t="shared" si="43"/>
        <v>30.746418545520076</v>
      </c>
      <c r="K79" s="6">
        <f t="shared" si="44"/>
        <v>38.629747429880929</v>
      </c>
      <c r="L79" s="6">
        <f t="shared" si="45"/>
        <v>33.745521979882369</v>
      </c>
      <c r="M79" s="6">
        <f t="shared" si="46"/>
        <v>1684.9063640310915</v>
      </c>
      <c r="O79" s="6">
        <f t="shared" si="47"/>
        <v>0.11995118256418327</v>
      </c>
      <c r="P79" s="6">
        <f t="shared" si="48"/>
        <v>0.49044008815395973</v>
      </c>
      <c r="Q79" s="6">
        <f t="shared" si="49"/>
        <v>6.6996001803105287E-3</v>
      </c>
      <c r="R79" s="6">
        <f t="shared" si="50"/>
        <v>8.4173661548066596E-3</v>
      </c>
      <c r="S79" s="6">
        <f t="shared" si="51"/>
        <v>7.3531004857160564E-3</v>
      </c>
      <c r="T79" s="6">
        <f t="shared" si="52"/>
        <v>0.36713866246102383</v>
      </c>
      <c r="V79" s="6">
        <f t="shared" si="53"/>
        <v>20.991456948732072</v>
      </c>
      <c r="W79" s="6">
        <f t="shared" si="54"/>
        <v>85.82701542694295</v>
      </c>
      <c r="X79" s="6">
        <f t="shared" si="55"/>
        <v>1.1724300315543426</v>
      </c>
      <c r="Y79" s="6">
        <f t="shared" si="56"/>
        <v>1.4730390770911654</v>
      </c>
      <c r="Z79" s="6">
        <f t="shared" si="57"/>
        <v>1.2867925850003099</v>
      </c>
      <c r="AA79" s="6">
        <f t="shared" si="58"/>
        <v>64.249265930679172</v>
      </c>
      <c r="AC79" s="14">
        <f t="shared" si="59"/>
        <v>0.13424805410713983</v>
      </c>
      <c r="AD79" s="17"/>
      <c r="AE79" s="15">
        <f t="shared" si="60"/>
        <v>8.2060085892825915E-2</v>
      </c>
    </row>
    <row r="80" spans="2:31" x14ac:dyDescent="0.2">
      <c r="B80" s="6">
        <f t="shared" si="36"/>
        <v>65</v>
      </c>
      <c r="C80" s="6">
        <f t="shared" si="37"/>
        <v>2.7319930938342547</v>
      </c>
      <c r="D80" s="6">
        <f t="shared" si="38"/>
        <v>77.733103127808448</v>
      </c>
      <c r="E80" s="6">
        <f t="shared" si="39"/>
        <v>0.35644985165131998</v>
      </c>
      <c r="F80" s="6">
        <f t="shared" si="40"/>
        <v>0.2214289596078893</v>
      </c>
      <c r="H80" s="6">
        <f t="shared" si="41"/>
        <v>549.91720930271629</v>
      </c>
      <c r="I80" s="6">
        <f t="shared" si="42"/>
        <v>2249.4866512637818</v>
      </c>
      <c r="J80" s="6">
        <f t="shared" si="43"/>
        <v>31.102500833560264</v>
      </c>
      <c r="K80" s="6">
        <f t="shared" si="44"/>
        <v>38.847405282248545</v>
      </c>
      <c r="L80" s="6">
        <f t="shared" si="45"/>
        <v>34.319262120290169</v>
      </c>
      <c r="M80" s="6">
        <f t="shared" si="46"/>
        <v>1684.9063640310915</v>
      </c>
      <c r="O80" s="6">
        <f t="shared" si="47"/>
        <v>0.11984476288272602</v>
      </c>
      <c r="P80" s="6">
        <f t="shared" si="48"/>
        <v>0.49023596601095443</v>
      </c>
      <c r="Q80" s="6">
        <f t="shared" si="49"/>
        <v>6.7782418415022437E-3</v>
      </c>
      <c r="R80" s="6">
        <f t="shared" si="50"/>
        <v>8.4661072537873736E-3</v>
      </c>
      <c r="S80" s="6">
        <f t="shared" si="51"/>
        <v>7.4792782650527981E-3</v>
      </c>
      <c r="T80" s="6">
        <f t="shared" si="52"/>
        <v>0.36719564374597724</v>
      </c>
      <c r="V80" s="6">
        <f t="shared" si="53"/>
        <v>20.972833504477055</v>
      </c>
      <c r="W80" s="6">
        <f t="shared" si="54"/>
        <v>85.791294051917021</v>
      </c>
      <c r="X80" s="6">
        <f t="shared" si="55"/>
        <v>1.1861923222628927</v>
      </c>
      <c r="Y80" s="6">
        <f t="shared" si="56"/>
        <v>1.4815687694127904</v>
      </c>
      <c r="Z80" s="6">
        <f t="shared" si="57"/>
        <v>1.3088736963842396</v>
      </c>
      <c r="AA80" s="6">
        <f t="shared" si="58"/>
        <v>64.259237655546016</v>
      </c>
      <c r="AC80" s="14">
        <f t="shared" si="59"/>
        <v>0.13047245707018071</v>
      </c>
      <c r="AD80" s="17"/>
      <c r="AE80" s="15">
        <f t="shared" si="60"/>
        <v>8.105033651352378E-2</v>
      </c>
    </row>
    <row r="81" spans="2:31" x14ac:dyDescent="0.2">
      <c r="B81" s="6">
        <f t="shared" si="36"/>
        <v>66</v>
      </c>
      <c r="C81" s="6">
        <f t="shared" si="37"/>
        <v>2.8139528866492824</v>
      </c>
      <c r="D81" s="6">
        <f t="shared" si="38"/>
        <v>80.465096221642696</v>
      </c>
      <c r="E81" s="6">
        <f t="shared" si="39"/>
        <v>0.35682586836661823</v>
      </c>
      <c r="F81" s="6">
        <f t="shared" si="40"/>
        <v>0.225253296663704</v>
      </c>
      <c r="H81" s="6">
        <f t="shared" si="41"/>
        <v>549.33933049145708</v>
      </c>
      <c r="I81" s="6">
        <f t="shared" si="42"/>
        <v>2248.1958727492201</v>
      </c>
      <c r="J81" s="6">
        <f t="shared" si="43"/>
        <v>31.458950685211583</v>
      </c>
      <c r="K81" s="6">
        <f t="shared" si="44"/>
        <v>39.068834241856436</v>
      </c>
      <c r="L81" s="6">
        <f t="shared" si="45"/>
        <v>34.89714093154938</v>
      </c>
      <c r="M81" s="6">
        <f t="shared" si="46"/>
        <v>1684.9063640310915</v>
      </c>
      <c r="O81" s="6">
        <f t="shared" si="47"/>
        <v>0.1197374272581835</v>
      </c>
      <c r="P81" s="6">
        <f t="shared" si="48"/>
        <v>0.49003079669287286</v>
      </c>
      <c r="Q81" s="6">
        <f t="shared" si="49"/>
        <v>6.8569891325993134E-3</v>
      </c>
      <c r="R81" s="6">
        <f t="shared" si="50"/>
        <v>8.5156868231357451E-3</v>
      </c>
      <c r="S81" s="6">
        <f t="shared" si="51"/>
        <v>7.6063985261564165E-3</v>
      </c>
      <c r="T81" s="6">
        <f t="shared" si="52"/>
        <v>0.36725270156705203</v>
      </c>
      <c r="V81" s="6">
        <f t="shared" si="53"/>
        <v>20.954049770182113</v>
      </c>
      <c r="W81" s="6">
        <f t="shared" si="54"/>
        <v>85.755389421252744</v>
      </c>
      <c r="X81" s="6">
        <f t="shared" si="55"/>
        <v>1.19997309820488</v>
      </c>
      <c r="Y81" s="6">
        <f t="shared" si="56"/>
        <v>1.4902451940487553</v>
      </c>
      <c r="Z81" s="6">
        <f t="shared" si="57"/>
        <v>1.3311197420773728</v>
      </c>
      <c r="AA81" s="6">
        <f t="shared" si="58"/>
        <v>64.269222774234109</v>
      </c>
      <c r="AC81" s="14">
        <f t="shared" si="59"/>
        <v>0.12680591422108314</v>
      </c>
      <c r="AD81" s="17"/>
      <c r="AE81" s="15">
        <f t="shared" si="60"/>
        <v>8.0048709320049996E-2</v>
      </c>
    </row>
    <row r="82" spans="2:31" x14ac:dyDescent="0.2">
      <c r="B82" s="6">
        <f t="shared" ref="B82:B145" si="61">B81+1</f>
        <v>67</v>
      </c>
      <c r="C82" s="6">
        <f t="shared" si="37"/>
        <v>2.8983714732487611</v>
      </c>
      <c r="D82" s="6">
        <f t="shared" si="38"/>
        <v>83.279049108291986</v>
      </c>
      <c r="E82" s="6">
        <f t="shared" si="39"/>
        <v>0.35720960850876682</v>
      </c>
      <c r="F82" s="6">
        <f t="shared" si="40"/>
        <v>0.22913077529314479</v>
      </c>
      <c r="H82" s="6">
        <f t="shared" si="41"/>
        <v>548.75725132642674</v>
      </c>
      <c r="I82" s="6">
        <f t="shared" si="42"/>
        <v>2246.9001418474568</v>
      </c>
      <c r="J82" s="6">
        <f t="shared" si="43"/>
        <v>31.8157765535782</v>
      </c>
      <c r="K82" s="6">
        <f t="shared" si="44"/>
        <v>39.294087538520138</v>
      </c>
      <c r="L82" s="6">
        <f t="shared" si="45"/>
        <v>35.479220096579702</v>
      </c>
      <c r="M82" s="6">
        <f t="shared" si="46"/>
        <v>1684.9063640310915</v>
      </c>
      <c r="O82" s="6">
        <f t="shared" si="47"/>
        <v>0.11962916220591967</v>
      </c>
      <c r="P82" s="6">
        <f t="shared" si="48"/>
        <v>0.48982456428567811</v>
      </c>
      <c r="Q82" s="6">
        <f t="shared" si="49"/>
        <v>6.9358440090502918E-3</v>
      </c>
      <c r="R82" s="6">
        <f t="shared" si="50"/>
        <v>8.5661169132925461E-3</v>
      </c>
      <c r="S82" s="6">
        <f t="shared" si="51"/>
        <v>7.7344752449540182E-3</v>
      </c>
      <c r="T82" s="6">
        <f t="shared" si="52"/>
        <v>0.36730983734110517</v>
      </c>
      <c r="V82" s="6">
        <f t="shared" si="53"/>
        <v>20.935103386035941</v>
      </c>
      <c r="W82" s="6">
        <f t="shared" si="54"/>
        <v>85.719298749993669</v>
      </c>
      <c r="X82" s="6">
        <f t="shared" si="55"/>
        <v>1.2137727015838011</v>
      </c>
      <c r="Y82" s="6">
        <f t="shared" si="56"/>
        <v>1.4990704598261955</v>
      </c>
      <c r="Z82" s="6">
        <f t="shared" si="57"/>
        <v>1.3535331678669531</v>
      </c>
      <c r="AA82" s="6">
        <f t="shared" si="58"/>
        <v>64.279221534693406</v>
      </c>
      <c r="AC82" s="14">
        <f t="shared" si="59"/>
        <v>0.12324493661551722</v>
      </c>
      <c r="AD82" s="17"/>
      <c r="AE82" s="15">
        <f t="shared" si="60"/>
        <v>7.9055006374429276E-2</v>
      </c>
    </row>
    <row r="83" spans="2:31" x14ac:dyDescent="0.2">
      <c r="B83" s="6">
        <f t="shared" si="61"/>
        <v>68</v>
      </c>
      <c r="C83" s="6">
        <f t="shared" si="37"/>
        <v>2.985322617446224</v>
      </c>
      <c r="D83" s="6">
        <f t="shared" si="38"/>
        <v>86.177420581540744</v>
      </c>
      <c r="E83" s="6">
        <f t="shared" si="39"/>
        <v>0.35760037601809025</v>
      </c>
      <c r="F83" s="6">
        <f t="shared" si="40"/>
        <v>0.23306126074012787</v>
      </c>
      <c r="H83" s="6">
        <f t="shared" si="41"/>
        <v>548.1709109426248</v>
      </c>
      <c r="I83" s="6">
        <f t="shared" si="42"/>
        <v>2245.5993822466376</v>
      </c>
      <c r="J83" s="6">
        <f t="shared" si="43"/>
        <v>32.172986162086964</v>
      </c>
      <c r="K83" s="6">
        <f t="shared" si="44"/>
        <v>39.523218313813281</v>
      </c>
      <c r="L83" s="6">
        <f t="shared" si="45"/>
        <v>36.065560480381613</v>
      </c>
      <c r="M83" s="6">
        <f t="shared" si="46"/>
        <v>1684.9063640310915</v>
      </c>
      <c r="O83" s="6">
        <f t="shared" si="47"/>
        <v>0.11951995437071046</v>
      </c>
      <c r="P83" s="6">
        <f t="shared" si="48"/>
        <v>0.48961725320208682</v>
      </c>
      <c r="Q83" s="6">
        <f t="shared" si="49"/>
        <v>7.01480826746133E-3</v>
      </c>
      <c r="R83" s="6">
        <f t="shared" si="50"/>
        <v>8.6174095617872308E-3</v>
      </c>
      <c r="S83" s="6">
        <f t="shared" si="51"/>
        <v>7.8635222280528487E-3</v>
      </c>
      <c r="T83" s="6">
        <f t="shared" si="52"/>
        <v>0.36736705236990125</v>
      </c>
      <c r="V83" s="6">
        <f t="shared" si="53"/>
        <v>20.91599201487433</v>
      </c>
      <c r="W83" s="6">
        <f t="shared" si="54"/>
        <v>85.683019310365196</v>
      </c>
      <c r="X83" s="6">
        <f t="shared" si="55"/>
        <v>1.2275914468057327</v>
      </c>
      <c r="Y83" s="6">
        <f t="shared" si="56"/>
        <v>1.5080466733127653</v>
      </c>
      <c r="Z83" s="6">
        <f t="shared" si="57"/>
        <v>1.3761163899092486</v>
      </c>
      <c r="AA83" s="6">
        <f t="shared" si="58"/>
        <v>64.289234164732719</v>
      </c>
      <c r="AC83" s="14">
        <f t="shared" si="59"/>
        <v>0.11978617450866912</v>
      </c>
      <c r="AD83" s="17"/>
      <c r="AE83" s="15">
        <f t="shared" si="60"/>
        <v>7.8069036618728563E-2</v>
      </c>
    </row>
    <row r="84" spans="2:31" x14ac:dyDescent="0.2">
      <c r="B84" s="6">
        <f t="shared" si="61"/>
        <v>69</v>
      </c>
      <c r="C84" s="6">
        <f t="shared" si="37"/>
        <v>3.0748822959696107</v>
      </c>
      <c r="D84" s="6">
        <f t="shared" si="38"/>
        <v>89.162743198986973</v>
      </c>
      <c r="E84" s="6">
        <f t="shared" si="39"/>
        <v>0.35799750753446785</v>
      </c>
      <c r="F84" s="6">
        <f t="shared" si="40"/>
        <v>0.2370445690148788</v>
      </c>
      <c r="H84" s="6">
        <f t="shared" si="41"/>
        <v>547.58024930586657</v>
      </c>
      <c r="I84" s="6">
        <f t="shared" si="42"/>
        <v>2244.293519857843</v>
      </c>
      <c r="J84" s="6">
        <f t="shared" si="43"/>
        <v>32.530586538105055</v>
      </c>
      <c r="K84" s="6">
        <f t="shared" si="44"/>
        <v>39.75627957455341</v>
      </c>
      <c r="L84" s="6">
        <f t="shared" si="45"/>
        <v>36.656222117139833</v>
      </c>
      <c r="M84" s="6">
        <f t="shared" si="46"/>
        <v>1684.9063640310915</v>
      </c>
      <c r="O84" s="6">
        <f t="shared" si="47"/>
        <v>0.11940979053152612</v>
      </c>
      <c r="P84" s="6">
        <f t="shared" si="48"/>
        <v>0.48940884817741603</v>
      </c>
      <c r="Q84" s="6">
        <f t="shared" si="49"/>
        <v>7.093883552788673E-3</v>
      </c>
      <c r="R84" s="6">
        <f t="shared" si="50"/>
        <v>8.6695767831802845E-3</v>
      </c>
      <c r="S84" s="6">
        <f t="shared" si="51"/>
        <v>7.9935531097649233E-3</v>
      </c>
      <c r="T84" s="6">
        <f t="shared" si="52"/>
        <v>0.36742434784532391</v>
      </c>
      <c r="V84" s="6">
        <f t="shared" si="53"/>
        <v>20.896713343017069</v>
      </c>
      <c r="W84" s="6">
        <f t="shared" si="54"/>
        <v>85.646548431047805</v>
      </c>
      <c r="X84" s="6">
        <f t="shared" si="55"/>
        <v>1.2414296217380179</v>
      </c>
      <c r="Y84" s="6">
        <f t="shared" si="56"/>
        <v>1.5171759370565499</v>
      </c>
      <c r="Z84" s="6">
        <f t="shared" si="57"/>
        <v>1.3988717942088615</v>
      </c>
      <c r="AA84" s="6">
        <f t="shared" si="58"/>
        <v>64.299260872931683</v>
      </c>
      <c r="AC84" s="14">
        <f t="shared" si="59"/>
        <v>0.11642641020884331</v>
      </c>
      <c r="AD84" s="17"/>
      <c r="AE84" s="15">
        <f t="shared" si="60"/>
        <v>7.7090615574321009E-2</v>
      </c>
    </row>
    <row r="85" spans="2:31" x14ac:dyDescent="0.2">
      <c r="B85" s="6">
        <f t="shared" si="61"/>
        <v>70</v>
      </c>
      <c r="C85" s="6">
        <f t="shared" si="37"/>
        <v>3.167128764848699</v>
      </c>
      <c r="D85" s="6">
        <f t="shared" si="38"/>
        <v>92.237625494956589</v>
      </c>
      <c r="E85" s="6">
        <f t="shared" si="39"/>
        <v>0.35840037158054056</v>
      </c>
      <c r="F85" s="6">
        <f t="shared" si="40"/>
        <v>0.24108046407247177</v>
      </c>
      <c r="H85" s="6">
        <f t="shared" si="41"/>
        <v>546.98520722931721</v>
      </c>
      <c r="I85" s="6">
        <f t="shared" si="42"/>
        <v>2242.9824827662246</v>
      </c>
      <c r="J85" s="6">
        <f t="shared" si="43"/>
        <v>32.888584045639526</v>
      </c>
      <c r="K85" s="6">
        <f t="shared" si="44"/>
        <v>39.993324143568287</v>
      </c>
      <c r="L85" s="6">
        <f t="shared" si="45"/>
        <v>37.251264193689181</v>
      </c>
      <c r="M85" s="6">
        <f t="shared" si="46"/>
        <v>1684.9063640310915</v>
      </c>
      <c r="O85" s="6">
        <f t="shared" si="47"/>
        <v>0.11929865760705799</v>
      </c>
      <c r="P85" s="6">
        <f t="shared" si="48"/>
        <v>0.48919933426641071</v>
      </c>
      <c r="Q85" s="6">
        <f t="shared" si="49"/>
        <v>7.1730713653409481E-3</v>
      </c>
      <c r="R85" s="6">
        <f t="shared" si="50"/>
        <v>8.7226305584008051E-3</v>
      </c>
      <c r="S85" s="6">
        <f t="shared" si="51"/>
        <v>8.1245813483396059E-3</v>
      </c>
      <c r="T85" s="6">
        <f t="shared" si="52"/>
        <v>0.36748172485444985</v>
      </c>
      <c r="V85" s="6">
        <f t="shared" si="53"/>
        <v>20.877265081235148</v>
      </c>
      <c r="W85" s="6">
        <f t="shared" si="54"/>
        <v>85.609883496621876</v>
      </c>
      <c r="X85" s="6">
        <f t="shared" si="55"/>
        <v>1.2552874889346659</v>
      </c>
      <c r="Y85" s="6">
        <f t="shared" si="56"/>
        <v>1.5264603477201408</v>
      </c>
      <c r="Z85" s="6">
        <f t="shared" si="57"/>
        <v>1.421801735959431</v>
      </c>
      <c r="AA85" s="6">
        <f t="shared" si="58"/>
        <v>64.309301849528723</v>
      </c>
      <c r="AC85" s="14">
        <f t="shared" si="59"/>
        <v>0.11316255138040217</v>
      </c>
      <c r="AD85" s="17"/>
      <c r="AE85" s="15">
        <f t="shared" si="60"/>
        <v>7.6119565061002106E-2</v>
      </c>
    </row>
    <row r="86" spans="2:31" x14ac:dyDescent="0.2">
      <c r="B86" s="6">
        <f t="shared" si="61"/>
        <v>71</v>
      </c>
      <c r="C86" s="6">
        <f t="shared" si="37"/>
        <v>3.2621426277941601</v>
      </c>
      <c r="D86" s="6">
        <f t="shared" si="38"/>
        <v>95.404754259805287</v>
      </c>
      <c r="E86" s="6">
        <f t="shared" si="39"/>
        <v>0.35880836783986858</v>
      </c>
      <c r="F86" s="6">
        <f t="shared" si="40"/>
        <v>0.24516865488665202</v>
      </c>
      <c r="H86" s="6">
        <f t="shared" si="41"/>
        <v>546.38572639366419</v>
      </c>
      <c r="I86" s="6">
        <f t="shared" si="42"/>
        <v>2241.6662011874105</v>
      </c>
      <c r="J86" s="6">
        <f t="shared" si="43"/>
        <v>33.246984417220069</v>
      </c>
      <c r="K86" s="6">
        <f t="shared" si="44"/>
        <v>40.234404607640762</v>
      </c>
      <c r="L86" s="6">
        <f t="shared" si="45"/>
        <v>37.8507450293422</v>
      </c>
      <c r="M86" s="6">
        <f t="shared" si="46"/>
        <v>1684.9063640310915</v>
      </c>
      <c r="O86" s="6">
        <f t="shared" si="47"/>
        <v>0.11918654266199592</v>
      </c>
      <c r="P86" s="6">
        <f t="shared" si="48"/>
        <v>0.48898869684103036</v>
      </c>
      <c r="Q86" s="6">
        <f t="shared" si="49"/>
        <v>7.2523730676132521E-3</v>
      </c>
      <c r="R86" s="6">
        <f t="shared" si="50"/>
        <v>8.7765828234567644E-3</v>
      </c>
      <c r="S86" s="6">
        <f t="shared" si="51"/>
        <v>8.256620221403237E-3</v>
      </c>
      <c r="T86" s="6">
        <f t="shared" si="52"/>
        <v>0.36753918438450034</v>
      </c>
      <c r="V86" s="6">
        <f t="shared" si="53"/>
        <v>20.857644965849286</v>
      </c>
      <c r="W86" s="6">
        <f t="shared" si="54"/>
        <v>85.573021947180308</v>
      </c>
      <c r="X86" s="6">
        <f t="shared" si="55"/>
        <v>1.2691652868323191</v>
      </c>
      <c r="Y86" s="6">
        <f t="shared" si="56"/>
        <v>1.5359019941049337</v>
      </c>
      <c r="Z86" s="6">
        <f t="shared" si="57"/>
        <v>1.4449085387455665</v>
      </c>
      <c r="AA86" s="6">
        <f t="shared" si="58"/>
        <v>64.319357267287558</v>
      </c>
      <c r="AC86" s="14">
        <f t="shared" si="59"/>
        <v>0.10999162476304493</v>
      </c>
      <c r="AD86" s="17"/>
      <c r="AE86" s="15">
        <f t="shared" si="60"/>
        <v>7.5155712934732555E-2</v>
      </c>
    </row>
    <row r="87" spans="2:31" x14ac:dyDescent="0.2">
      <c r="B87" s="6">
        <f t="shared" si="61"/>
        <v>72</v>
      </c>
      <c r="C87" s="6">
        <f t="shared" si="37"/>
        <v>3.360006906627985</v>
      </c>
      <c r="D87" s="6">
        <f t="shared" si="38"/>
        <v>98.666896887599449</v>
      </c>
      <c r="E87" s="6">
        <f t="shared" si="39"/>
        <v>0.35922092652423665</v>
      </c>
      <c r="F87" s="6">
        <f t="shared" si="40"/>
        <v>0.24930879241623571</v>
      </c>
      <c r="H87" s="6">
        <f t="shared" si="41"/>
        <v>545.78174937093763</v>
      </c>
      <c r="I87" s="6">
        <f t="shared" si="42"/>
        <v>2240.3446074290041</v>
      </c>
      <c r="J87" s="6">
        <f t="shared" si="43"/>
        <v>33.60579278505994</v>
      </c>
      <c r="K87" s="6">
        <f t="shared" si="44"/>
        <v>40.479573262527417</v>
      </c>
      <c r="L87" s="6">
        <f t="shared" si="45"/>
        <v>38.454722052068725</v>
      </c>
      <c r="M87" s="6">
        <f t="shared" si="46"/>
        <v>1684.9063640310915</v>
      </c>
      <c r="O87" s="6">
        <f t="shared" si="47"/>
        <v>0.1190734329140643</v>
      </c>
      <c r="P87" s="6">
        <f t="shared" si="48"/>
        <v>0.48877692158917813</v>
      </c>
      <c r="Q87" s="6">
        <f t="shared" si="49"/>
        <v>7.3317898909736976E-3</v>
      </c>
      <c r="R87" s="6">
        <f t="shared" si="50"/>
        <v>8.8314454574947576E-3</v>
      </c>
      <c r="S87" s="6">
        <f t="shared" si="51"/>
        <v>8.3896828206029752E-3</v>
      </c>
      <c r="T87" s="6">
        <f t="shared" si="52"/>
        <v>0.36759672732768628</v>
      </c>
      <c r="V87" s="6">
        <f t="shared" si="53"/>
        <v>20.837850759961253</v>
      </c>
      <c r="W87" s="6">
        <f t="shared" si="54"/>
        <v>85.535961278106171</v>
      </c>
      <c r="X87" s="6">
        <f t="shared" si="55"/>
        <v>1.2830632309203971</v>
      </c>
      <c r="Y87" s="6">
        <f t="shared" si="56"/>
        <v>1.5455029550615826</v>
      </c>
      <c r="Z87" s="6">
        <f t="shared" si="57"/>
        <v>1.4681944936055207</v>
      </c>
      <c r="AA87" s="6">
        <f t="shared" si="58"/>
        <v>64.329427282345094</v>
      </c>
      <c r="AC87" s="14">
        <f t="shared" si="59"/>
        <v>0.1069107702771782</v>
      </c>
      <c r="AD87" s="17"/>
      <c r="AE87" s="15">
        <f t="shared" si="60"/>
        <v>7.4198892842882724E-2</v>
      </c>
    </row>
    <row r="88" spans="2:31" x14ac:dyDescent="0.2">
      <c r="B88" s="6">
        <f t="shared" si="61"/>
        <v>73</v>
      </c>
      <c r="C88" s="6">
        <f t="shared" ref="C88:C151" si="62">C87*C$13</f>
        <v>3.4608071138268244</v>
      </c>
      <c r="D88" s="6">
        <f t="shared" ref="D88:D151" si="63">D87+C87</f>
        <v>102.02690379422744</v>
      </c>
      <c r="E88" s="6">
        <f t="shared" ref="E88:E151" si="64">AC88*C88</f>
        <v>0.35963750782481407</v>
      </c>
      <c r="F88" s="6">
        <f t="shared" ref="F88:F151" si="65">AE88*C88</f>
        <v>0.25350046646146862</v>
      </c>
      <c r="H88" s="6">
        <f t="shared" ref="H88:H151" si="66">H87-E87-F87</f>
        <v>545.1732196519971</v>
      </c>
      <c r="I88" s="6">
        <f t="shared" ref="I88:I151" si="67">I87-3*E87-F87</f>
        <v>2239.0176358570152</v>
      </c>
      <c r="J88" s="6">
        <f t="shared" ref="J88:J151" si="68">J87+E87</f>
        <v>33.965013711584177</v>
      </c>
      <c r="K88" s="6">
        <f t="shared" ref="K88:K151" si="69">K87+F87</f>
        <v>40.728882054943654</v>
      </c>
      <c r="L88" s="6">
        <f t="shared" ref="L88:L151" si="70">L87+E87+F87</f>
        <v>39.063251771009199</v>
      </c>
      <c r="M88" s="6">
        <f t="shared" ref="M88:M151" si="71">M87</f>
        <v>1684.9063640310915</v>
      </c>
      <c r="O88" s="6">
        <f t="shared" ref="O88:O151" si="72">H88/SUM($H88:$M88)</f>
        <v>0.11895931574182642</v>
      </c>
      <c r="P88" s="6">
        <f t="shared" ref="P88:P151" si="73">I88/SUM($H88:$M88)</f>
        <v>0.4885639945143565</v>
      </c>
      <c r="Q88" s="6">
        <f t="shared" ref="Q88:Q151" si="74">J88/SUM($H88:$M88)</f>
        <v>7.4113229422218636E-3</v>
      </c>
      <c r="R88" s="6">
        <f t="shared" ref="R88:R151" si="75">K88/SUM($H88:$M88)</f>
        <v>8.887230270185377E-3</v>
      </c>
      <c r="S88" s="6">
        <f t="shared" ref="S88:S151" si="76">L88/SUM($H88:$M88)</f>
        <v>8.5237820454501494E-3</v>
      </c>
      <c r="T88" s="6">
        <f t="shared" ref="T88:T151" si="77">M88/SUM($H88:$M88)</f>
        <v>0.36765435448595973</v>
      </c>
      <c r="V88" s="6">
        <f t="shared" ref="V88:V151" si="78">O88*$G$8</f>
        <v>20.817880254819624</v>
      </c>
      <c r="W88" s="6">
        <f t="shared" ref="W88:W151" si="79">P88*$G$8</f>
        <v>85.498699040012383</v>
      </c>
      <c r="X88" s="6">
        <f t="shared" ref="X88:X151" si="80">Q88*$G$8</f>
        <v>1.2969815148888262</v>
      </c>
      <c r="Y88" s="6">
        <f t="shared" ref="Y88:Y151" si="81">R88*$G$8</f>
        <v>1.555265297282441</v>
      </c>
      <c r="Z88" s="6">
        <f t="shared" ref="Z88:Z151" si="82">S88*$G$8</f>
        <v>1.4916618579537761</v>
      </c>
      <c r="AA88" s="6">
        <f t="shared" ref="AA88:AA151" si="83">T88*$G$8</f>
        <v>64.339512035042958</v>
      </c>
      <c r="AC88" s="14">
        <f t="shared" ref="AC88:AC151" si="84">$M$9*V88*W88*(1-(1/$I$9)*(Z88*X88/(W88^3*V88)))/(1+$O$9*Z88/W88+$Q$9*W88^0.5+$S$9*Z88)^3</f>
        <v>0.10391723548763197</v>
      </c>
      <c r="AD88" s="17"/>
      <c r="AE88" s="15">
        <f t="shared" ref="AE88:AE151" si="85" xml:space="preserve"> $U$9*V88*(1-$K$9*Z88*Y88/(V88*W88))/(1+$O$9*Z88/W88+$Q$9*W88^0.5+$S$9*Z88)</f>
        <v>7.3248943995944865E-2</v>
      </c>
    </row>
    <row r="89" spans="2:31" x14ac:dyDescent="0.2">
      <c r="B89" s="6">
        <f t="shared" si="61"/>
        <v>74</v>
      </c>
      <c r="C89" s="6">
        <f t="shared" si="62"/>
        <v>3.5646313272416292</v>
      </c>
      <c r="D89" s="6">
        <f t="shared" si="63"/>
        <v>105.48771090805425</v>
      </c>
      <c r="E89" s="6">
        <f t="shared" si="64"/>
        <v>0.3600576014423198</v>
      </c>
      <c r="F89" s="6">
        <f t="shared" si="65"/>
        <v>0.25774320240782689</v>
      </c>
      <c r="H89" s="6">
        <f t="shared" si="66"/>
        <v>544.56008167771085</v>
      </c>
      <c r="I89" s="6">
        <f t="shared" si="67"/>
        <v>2237.6852228670791</v>
      </c>
      <c r="J89" s="6">
        <f t="shared" si="68"/>
        <v>34.324651219408992</v>
      </c>
      <c r="K89" s="6">
        <f t="shared" si="69"/>
        <v>40.982382521405121</v>
      </c>
      <c r="L89" s="6">
        <f t="shared" si="70"/>
        <v>39.676389745295481</v>
      </c>
      <c r="M89" s="6">
        <f t="shared" si="71"/>
        <v>1684.9063640310915</v>
      </c>
      <c r="O89" s="6">
        <f t="shared" si="72"/>
        <v>0.11884417869326833</v>
      </c>
      <c r="P89" s="6">
        <f t="shared" si="73"/>
        <v>0.48834990193624034</v>
      </c>
      <c r="Q89" s="6">
        <f t="shared" si="74"/>
        <v>7.4909732100374776E-3</v>
      </c>
      <c r="R89" s="6">
        <f t="shared" si="75"/>
        <v>8.9439489884098489E-3</v>
      </c>
      <c r="S89" s="6">
        <f t="shared" si="76"/>
        <v>8.6589305963567387E-3</v>
      </c>
      <c r="T89" s="6">
        <f t="shared" si="77"/>
        <v>0.36771206657568717</v>
      </c>
      <c r="V89" s="6">
        <f t="shared" si="78"/>
        <v>20.797731271321958</v>
      </c>
      <c r="W89" s="6">
        <f t="shared" si="79"/>
        <v>85.461232838842065</v>
      </c>
      <c r="X89" s="6">
        <f t="shared" si="80"/>
        <v>1.3109203117565587</v>
      </c>
      <c r="Y89" s="6">
        <f t="shared" si="81"/>
        <v>1.5651910729717236</v>
      </c>
      <c r="Z89" s="6">
        <f t="shared" si="82"/>
        <v>1.5153128543624292</v>
      </c>
      <c r="AA89" s="6">
        <f t="shared" si="83"/>
        <v>64.34961165074526</v>
      </c>
      <c r="AC89" s="14">
        <f t="shared" si="84"/>
        <v>0.10100837040023949</v>
      </c>
      <c r="AD89" s="17"/>
      <c r="AE89" s="15">
        <f t="shared" si="85"/>
        <v>7.2305710954763125E-2</v>
      </c>
    </row>
    <row r="90" spans="2:31" x14ac:dyDescent="0.2">
      <c r="B90" s="6">
        <f t="shared" si="61"/>
        <v>75</v>
      </c>
      <c r="C90" s="6">
        <f t="shared" si="62"/>
        <v>3.6715702670588781</v>
      </c>
      <c r="D90" s="6">
        <f t="shared" si="63"/>
        <v>109.05234223529588</v>
      </c>
      <c r="E90" s="6">
        <f t="shared" si="64"/>
        <v>0.36048072619175814</v>
      </c>
      <c r="F90" s="6">
        <f t="shared" si="65"/>
        <v>0.26203645785485991</v>
      </c>
      <c r="H90" s="6">
        <f t="shared" si="66"/>
        <v>543.94228087386068</v>
      </c>
      <c r="I90" s="6">
        <f t="shared" si="67"/>
        <v>2236.3473068603444</v>
      </c>
      <c r="J90" s="6">
        <f t="shared" si="68"/>
        <v>34.684708820851313</v>
      </c>
      <c r="K90" s="6">
        <f t="shared" si="69"/>
        <v>41.240125723812945</v>
      </c>
      <c r="L90" s="6">
        <f t="shared" si="70"/>
        <v>40.294190549145625</v>
      </c>
      <c r="M90" s="6">
        <f t="shared" si="71"/>
        <v>1684.9063640310915</v>
      </c>
      <c r="O90" s="6">
        <f t="shared" si="72"/>
        <v>0.11872800949517406</v>
      </c>
      <c r="P90" s="6">
        <f t="shared" si="73"/>
        <v>0.48813463049215489</v>
      </c>
      <c r="Q90" s="6">
        <f t="shared" si="74"/>
        <v>7.5707415713365924E-3</v>
      </c>
      <c r="R90" s="6">
        <f t="shared" si="75"/>
        <v>9.0016132422228324E-3</v>
      </c>
      <c r="S90" s="6">
        <f t="shared" si="76"/>
        <v>8.7951409668569729E-3</v>
      </c>
      <c r="T90" s="6">
        <f t="shared" si="77"/>
        <v>0.36776986423225455</v>
      </c>
      <c r="V90" s="6">
        <f t="shared" si="78"/>
        <v>20.77740166165546</v>
      </c>
      <c r="W90" s="6">
        <f t="shared" si="79"/>
        <v>85.42356033612711</v>
      </c>
      <c r="X90" s="6">
        <f t="shared" si="80"/>
        <v>1.3248797749839036</v>
      </c>
      <c r="Y90" s="6">
        <f t="shared" si="81"/>
        <v>1.5752823173889956</v>
      </c>
      <c r="Z90" s="6">
        <f t="shared" si="82"/>
        <v>1.5391496691999702</v>
      </c>
      <c r="AA90" s="6">
        <f t="shared" si="83"/>
        <v>64.359726240644548</v>
      </c>
      <c r="AC90" s="14">
        <f t="shared" si="84"/>
        <v>9.8181622567861754E-2</v>
      </c>
      <c r="AD90" s="17"/>
      <c r="AE90" s="15">
        <f t="shared" si="85"/>
        <v>7.1369043432407187E-2</v>
      </c>
    </row>
    <row r="91" spans="2:31" x14ac:dyDescent="0.2">
      <c r="B91" s="6">
        <f t="shared" si="61"/>
        <v>76</v>
      </c>
      <c r="C91" s="6">
        <f t="shared" si="62"/>
        <v>3.7817173750706448</v>
      </c>
      <c r="D91" s="6">
        <f t="shared" si="63"/>
        <v>112.72391250235476</v>
      </c>
      <c r="E91" s="6">
        <f t="shared" si="64"/>
        <v>0.36090642967765946</v>
      </c>
      <c r="F91" s="6">
        <f t="shared" si="65"/>
        <v>0.2663796191278136</v>
      </c>
      <c r="H91" s="6">
        <f t="shared" si="66"/>
        <v>543.31976368981407</v>
      </c>
      <c r="I91" s="6">
        <f t="shared" si="67"/>
        <v>2235.0038282239143</v>
      </c>
      <c r="J91" s="6">
        <f t="shared" si="68"/>
        <v>35.045189547043073</v>
      </c>
      <c r="K91" s="6">
        <f t="shared" si="69"/>
        <v>41.502162181667806</v>
      </c>
      <c r="L91" s="6">
        <f t="shared" si="70"/>
        <v>40.916707733192247</v>
      </c>
      <c r="M91" s="6">
        <f t="shared" si="71"/>
        <v>1684.9063640310915</v>
      </c>
      <c r="O91" s="6">
        <f t="shared" si="72"/>
        <v>0.1186107960633062</v>
      </c>
      <c r="P91" s="6">
        <f t="shared" si="73"/>
        <v>0.48791816713945402</v>
      </c>
      <c r="Q91" s="6">
        <f t="shared" si="74"/>
        <v>7.6506287975516268E-3</v>
      </c>
      <c r="R91" s="6">
        <f t="shared" si="75"/>
        <v>9.060234550065837E-3</v>
      </c>
      <c r="S91" s="6">
        <f t="shared" si="76"/>
        <v>8.9324254350045731E-3</v>
      </c>
      <c r="T91" s="6">
        <f t="shared" si="77"/>
        <v>0.36782774801461771</v>
      </c>
      <c r="V91" s="6">
        <f t="shared" si="78"/>
        <v>20.756889311078584</v>
      </c>
      <c r="W91" s="6">
        <f t="shared" si="79"/>
        <v>85.385679249404447</v>
      </c>
      <c r="X91" s="6">
        <f t="shared" si="80"/>
        <v>1.3388600395715347</v>
      </c>
      <c r="Y91" s="6">
        <f t="shared" si="81"/>
        <v>1.5855410462615214</v>
      </c>
      <c r="Z91" s="6">
        <f t="shared" si="82"/>
        <v>1.5631744511258003</v>
      </c>
      <c r="AA91" s="6">
        <f t="shared" si="83"/>
        <v>64.369855902558101</v>
      </c>
      <c r="AC91" s="14">
        <f t="shared" si="84"/>
        <v>9.5434532484310122E-2</v>
      </c>
      <c r="AD91" s="17"/>
      <c r="AE91" s="15">
        <f t="shared" si="85"/>
        <v>7.0438796109885779E-2</v>
      </c>
    </row>
    <row r="92" spans="2:31" x14ac:dyDescent="0.2">
      <c r="B92" s="6">
        <f t="shared" si="61"/>
        <v>77</v>
      </c>
      <c r="C92" s="6">
        <f t="shared" si="62"/>
        <v>3.8951688963227644</v>
      </c>
      <c r="D92" s="6">
        <f t="shared" si="63"/>
        <v>116.50562987742541</v>
      </c>
      <c r="E92" s="6">
        <f t="shared" si="64"/>
        <v>0.36133428803609652</v>
      </c>
      <c r="F92" s="6">
        <f t="shared" si="65"/>
        <v>0.27077199766992394</v>
      </c>
      <c r="H92" s="6">
        <f t="shared" si="66"/>
        <v>542.69247764100851</v>
      </c>
      <c r="I92" s="6">
        <f t="shared" si="67"/>
        <v>2233.6547293157537</v>
      </c>
      <c r="J92" s="6">
        <f t="shared" si="68"/>
        <v>35.406095976720735</v>
      </c>
      <c r="K92" s="6">
        <f t="shared" si="69"/>
        <v>41.768541800795617</v>
      </c>
      <c r="L92" s="6">
        <f t="shared" si="70"/>
        <v>41.54399378199772</v>
      </c>
      <c r="M92" s="6">
        <f t="shared" si="71"/>
        <v>1684.9063640310915</v>
      </c>
      <c r="O92" s="6">
        <f t="shared" si="72"/>
        <v>0.11849252651340646</v>
      </c>
      <c r="P92" s="6">
        <f t="shared" si="73"/>
        <v>0.48770049915879432</v>
      </c>
      <c r="Q92" s="6">
        <f t="shared" si="74"/>
        <v>7.7306355608507769E-3</v>
      </c>
      <c r="R92" s="6">
        <f t="shared" si="75"/>
        <v>9.1198243032051748E-3</v>
      </c>
      <c r="S92" s="6">
        <f t="shared" si="76"/>
        <v>9.0707960539347966E-3</v>
      </c>
      <c r="T92" s="6">
        <f t="shared" si="77"/>
        <v>0.36788571840980855</v>
      </c>
      <c r="V92" s="6">
        <f t="shared" si="78"/>
        <v>20.736192139846128</v>
      </c>
      <c r="W92" s="6">
        <f t="shared" si="79"/>
        <v>85.347587352789006</v>
      </c>
      <c r="X92" s="6">
        <f t="shared" si="80"/>
        <v>1.3528612231488859</v>
      </c>
      <c r="Y92" s="6">
        <f t="shared" si="81"/>
        <v>1.5959692530609055</v>
      </c>
      <c r="Z92" s="6">
        <f t="shared" si="82"/>
        <v>1.5873893094385894</v>
      </c>
      <c r="AA92" s="6">
        <f t="shared" si="83"/>
        <v>64.380000721716499</v>
      </c>
      <c r="AC92" s="14">
        <f t="shared" si="84"/>
        <v>9.276472924632724E-2</v>
      </c>
      <c r="AD92" s="17"/>
      <c r="AE92" s="15">
        <f t="shared" si="85"/>
        <v>6.9514828464959849E-2</v>
      </c>
    </row>
    <row r="93" spans="2:31" x14ac:dyDescent="0.2">
      <c r="B93" s="6">
        <f t="shared" si="61"/>
        <v>78</v>
      </c>
      <c r="C93" s="6">
        <f t="shared" si="62"/>
        <v>4.0120239632124477</v>
      </c>
      <c r="D93" s="6">
        <f t="shared" si="63"/>
        <v>120.40079877374816</v>
      </c>
      <c r="E93" s="6">
        <f t="shared" si="64"/>
        <v>0.36176390574006767</v>
      </c>
      <c r="F93" s="6">
        <f t="shared" si="65"/>
        <v>0.2752128263134524</v>
      </c>
      <c r="H93" s="6">
        <f t="shared" si="66"/>
        <v>542.06037135530244</v>
      </c>
      <c r="I93" s="6">
        <f t="shared" si="67"/>
        <v>2232.2999544539757</v>
      </c>
      <c r="J93" s="6">
        <f t="shared" si="68"/>
        <v>35.767430264756833</v>
      </c>
      <c r="K93" s="6">
        <f t="shared" si="69"/>
        <v>42.039313798465543</v>
      </c>
      <c r="L93" s="6">
        <f t="shared" si="70"/>
        <v>42.176100067703743</v>
      </c>
      <c r="M93" s="6">
        <f t="shared" si="71"/>
        <v>1684.9063640310915</v>
      </c>
      <c r="O93" s="6">
        <f t="shared" si="72"/>
        <v>0.11837318917303191</v>
      </c>
      <c r="P93" s="6">
        <f t="shared" si="73"/>
        <v>0.48748161415830116</v>
      </c>
      <c r="Q93" s="6">
        <f t="shared" si="74"/>
        <v>7.8107624403114771E-3</v>
      </c>
      <c r="R93" s="6">
        <f t="shared" si="75"/>
        <v>9.1803937493678094E-3</v>
      </c>
      <c r="S93" s="6">
        <f t="shared" si="76"/>
        <v>9.2102646415791745E-3</v>
      </c>
      <c r="T93" s="6">
        <f t="shared" si="77"/>
        <v>0.36794377583740839</v>
      </c>
      <c r="V93" s="6">
        <f t="shared" si="78"/>
        <v>20.715308105280585</v>
      </c>
      <c r="W93" s="6">
        <f t="shared" si="79"/>
        <v>85.309282477702709</v>
      </c>
      <c r="X93" s="6">
        <f t="shared" si="80"/>
        <v>1.3668834270545085</v>
      </c>
      <c r="Y93" s="6">
        <f t="shared" si="81"/>
        <v>1.6065689061393666</v>
      </c>
      <c r="Z93" s="6">
        <f t="shared" si="82"/>
        <v>1.6117963122763554</v>
      </c>
      <c r="AA93" s="6">
        <f t="shared" si="83"/>
        <v>64.390160771546462</v>
      </c>
      <c r="AC93" s="14">
        <f t="shared" si="84"/>
        <v>9.0169926465344816E-2</v>
      </c>
      <c r="AD93" s="17"/>
      <c r="AE93" s="15">
        <f t="shared" si="85"/>
        <v>6.8597004613374271E-2</v>
      </c>
    </row>
    <row r="94" spans="2:31" x14ac:dyDescent="0.2">
      <c r="B94" s="6">
        <f t="shared" si="61"/>
        <v>79</v>
      </c>
      <c r="C94" s="6">
        <f t="shared" si="62"/>
        <v>4.132384682108821</v>
      </c>
      <c r="D94" s="6">
        <f t="shared" si="63"/>
        <v>124.41282273696061</v>
      </c>
      <c r="E94" s="6">
        <f t="shared" si="64"/>
        <v>0.36219491546509991</v>
      </c>
      <c r="F94" s="6">
        <f t="shared" si="65"/>
        <v>0.27970125542773122</v>
      </c>
      <c r="H94" s="6">
        <f t="shared" si="66"/>
        <v>541.4233946232489</v>
      </c>
      <c r="I94" s="6">
        <f t="shared" si="67"/>
        <v>2230.9394499104424</v>
      </c>
      <c r="J94" s="6">
        <f t="shared" si="68"/>
        <v>36.129194170496902</v>
      </c>
      <c r="K94" s="6">
        <f t="shared" si="69"/>
        <v>42.314526624778992</v>
      </c>
      <c r="L94" s="6">
        <f t="shared" si="70"/>
        <v>42.813076799757262</v>
      </c>
      <c r="M94" s="6">
        <f t="shared" si="71"/>
        <v>1684.9063640310915</v>
      </c>
      <c r="O94" s="6">
        <f t="shared" si="72"/>
        <v>0.11825277259424401</v>
      </c>
      <c r="P94" s="6">
        <f t="shared" si="73"/>
        <v>0.48726150007862823</v>
      </c>
      <c r="Q94" s="6">
        <f t="shared" si="74"/>
        <v>7.8910099280619424E-3</v>
      </c>
      <c r="R94" s="6">
        <f t="shared" si="75"/>
        <v>9.2419539755480822E-3</v>
      </c>
      <c r="S94" s="6">
        <f t="shared" si="76"/>
        <v>9.3508427695196648E-3</v>
      </c>
      <c r="T94" s="6">
        <f t="shared" si="77"/>
        <v>0.36800192065399817</v>
      </c>
      <c r="V94" s="6">
        <f t="shared" si="78"/>
        <v>20.694235203992701</v>
      </c>
      <c r="W94" s="6">
        <f t="shared" si="79"/>
        <v>85.270762513759934</v>
      </c>
      <c r="X94" s="6">
        <f t="shared" si="80"/>
        <v>1.3809267374108398</v>
      </c>
      <c r="Y94" s="6">
        <f t="shared" si="81"/>
        <v>1.6173419457209144</v>
      </c>
      <c r="Z94" s="6">
        <f t="shared" si="82"/>
        <v>1.6363974846659413</v>
      </c>
      <c r="AA94" s="6">
        <f t="shared" si="83"/>
        <v>64.400336114449686</v>
      </c>
      <c r="AC94" s="14">
        <f t="shared" si="84"/>
        <v>8.7647918412151832E-2</v>
      </c>
      <c r="AD94" s="17"/>
      <c r="AE94" s="15">
        <f t="shared" si="85"/>
        <v>6.7685193161880389E-2</v>
      </c>
    </row>
    <row r="95" spans="2:31" x14ac:dyDescent="0.2">
      <c r="B95" s="6">
        <f t="shared" si="61"/>
        <v>80</v>
      </c>
      <c r="C95" s="6">
        <f t="shared" si="62"/>
        <v>4.2563562225720855</v>
      </c>
      <c r="D95" s="6">
        <f t="shared" si="63"/>
        <v>128.54520741906941</v>
      </c>
      <c r="E95" s="6">
        <f t="shared" si="64"/>
        <v>0.36262697801220012</v>
      </c>
      <c r="F95" s="6">
        <f t="shared" si="65"/>
        <v>0.28423634894271582</v>
      </c>
      <c r="H95" s="6">
        <f t="shared" si="66"/>
        <v>540.781498452356</v>
      </c>
      <c r="I95" s="6">
        <f t="shared" si="67"/>
        <v>2229.5731639086193</v>
      </c>
      <c r="J95" s="6">
        <f t="shared" si="68"/>
        <v>36.491389085962005</v>
      </c>
      <c r="K95" s="6">
        <f t="shared" si="69"/>
        <v>42.594227880206724</v>
      </c>
      <c r="L95" s="6">
        <f t="shared" si="70"/>
        <v>43.454972970650097</v>
      </c>
      <c r="M95" s="6">
        <f t="shared" si="71"/>
        <v>1684.9063640310915</v>
      </c>
      <c r="O95" s="6">
        <f t="shared" si="72"/>
        <v>0.11813126556716745</v>
      </c>
      <c r="P95" s="6">
        <f t="shared" si="73"/>
        <v>0.48704014519890865</v>
      </c>
      <c r="Q95" s="6">
        <f t="shared" si="74"/>
        <v>7.9713784354040768E-3</v>
      </c>
      <c r="R95" s="6">
        <f t="shared" si="75"/>
        <v>9.3045158899578238E-3</v>
      </c>
      <c r="S95" s="6">
        <f t="shared" si="76"/>
        <v>9.4925417509678593E-3</v>
      </c>
      <c r="T95" s="6">
        <f t="shared" si="77"/>
        <v>0.36806015315759411</v>
      </c>
      <c r="V95" s="6">
        <f t="shared" si="78"/>
        <v>20.672971474254304</v>
      </c>
      <c r="W95" s="6">
        <f t="shared" si="79"/>
        <v>85.232025409809012</v>
      </c>
      <c r="X95" s="6">
        <f t="shared" si="80"/>
        <v>1.3949912261957134</v>
      </c>
      <c r="Y95" s="6">
        <f t="shared" si="81"/>
        <v>1.6282902807426192</v>
      </c>
      <c r="Z95" s="6">
        <f t="shared" si="82"/>
        <v>1.6611948064193753</v>
      </c>
      <c r="AA95" s="6">
        <f t="shared" si="83"/>
        <v>64.410526802578971</v>
      </c>
      <c r="AC95" s="14">
        <f t="shared" si="84"/>
        <v>8.5196576378907318E-2</v>
      </c>
      <c r="AD95" s="17"/>
      <c r="AE95" s="15">
        <f t="shared" si="85"/>
        <v>6.6779267072471171E-2</v>
      </c>
    </row>
    <row r="96" spans="2:31" x14ac:dyDescent="0.2">
      <c r="B96" s="6">
        <f t="shared" si="61"/>
        <v>81</v>
      </c>
      <c r="C96" s="6">
        <f t="shared" si="62"/>
        <v>4.384046909249248</v>
      </c>
      <c r="D96" s="6">
        <f t="shared" si="63"/>
        <v>132.80156364164151</v>
      </c>
      <c r="E96" s="6">
        <f t="shared" si="64"/>
        <v>0.36305978228550712</v>
      </c>
      <c r="F96" s="6">
        <f t="shared" si="65"/>
        <v>0.28881708024679731</v>
      </c>
      <c r="H96" s="6">
        <f t="shared" si="66"/>
        <v>540.13463512540113</v>
      </c>
      <c r="I96" s="6">
        <f t="shared" si="67"/>
        <v>2228.2010466256402</v>
      </c>
      <c r="J96" s="6">
        <f t="shared" si="68"/>
        <v>36.854016063974207</v>
      </c>
      <c r="K96" s="6">
        <f t="shared" si="69"/>
        <v>42.878464229149436</v>
      </c>
      <c r="L96" s="6">
        <f t="shared" si="70"/>
        <v>44.101836297605011</v>
      </c>
      <c r="M96" s="6">
        <f t="shared" si="71"/>
        <v>1684.9063640310915</v>
      </c>
      <c r="O96" s="6">
        <f t="shared" si="72"/>
        <v>0.11800865713443831</v>
      </c>
      <c r="P96" s="6">
        <f t="shared" si="73"/>
        <v>0.48681753814360429</v>
      </c>
      <c r="Q96" s="6">
        <f t="shared" si="74"/>
        <v>8.0518682989305073E-3</v>
      </c>
      <c r="R96" s="6">
        <f t="shared" si="75"/>
        <v>9.3680902030920579E-3</v>
      </c>
      <c r="S96" s="6">
        <f t="shared" si="76"/>
        <v>9.6353726278539959E-3</v>
      </c>
      <c r="T96" s="6">
        <f t="shared" si="77"/>
        <v>0.36811847359208077</v>
      </c>
      <c r="V96" s="6">
        <f t="shared" si="78"/>
        <v>20.651514998526704</v>
      </c>
      <c r="W96" s="6">
        <f t="shared" si="79"/>
        <v>85.193069175130745</v>
      </c>
      <c r="X96" s="6">
        <f t="shared" si="80"/>
        <v>1.4090769523128388</v>
      </c>
      <c r="Y96" s="6">
        <f t="shared" si="81"/>
        <v>1.6394157855411102</v>
      </c>
      <c r="Z96" s="6">
        <f t="shared" si="82"/>
        <v>1.6861902098744492</v>
      </c>
      <c r="AA96" s="6">
        <f t="shared" si="83"/>
        <v>64.420732878614132</v>
      </c>
      <c r="AC96" s="14">
        <f t="shared" si="84"/>
        <v>8.2813845244114823E-2</v>
      </c>
      <c r="AD96" s="17"/>
      <c r="AE96" s="15">
        <f t="shared" si="85"/>
        <v>6.5879103537296813E-2</v>
      </c>
    </row>
    <row r="97" spans="2:31" x14ac:dyDescent="0.2">
      <c r="B97" s="6">
        <f t="shared" si="61"/>
        <v>82</v>
      </c>
      <c r="C97" s="6">
        <f t="shared" si="62"/>
        <v>4.5155683165267257</v>
      </c>
      <c r="D97" s="6">
        <f t="shared" si="63"/>
        <v>137.18561055089074</v>
      </c>
      <c r="E97" s="6">
        <f t="shared" si="64"/>
        <v>0.36349304532221027</v>
      </c>
      <c r="F97" s="6">
        <f t="shared" si="65"/>
        <v>0.29344232795790631</v>
      </c>
      <c r="H97" s="6">
        <f t="shared" si="66"/>
        <v>539.48275826286886</v>
      </c>
      <c r="I97" s="6">
        <f t="shared" si="67"/>
        <v>2226.8230501985372</v>
      </c>
      <c r="J97" s="6">
        <f t="shared" si="68"/>
        <v>37.217075846259711</v>
      </c>
      <c r="K97" s="6">
        <f t="shared" si="69"/>
        <v>43.16728130939623</v>
      </c>
      <c r="L97" s="6">
        <f t="shared" si="70"/>
        <v>44.753713160137309</v>
      </c>
      <c r="M97" s="6">
        <f t="shared" si="71"/>
        <v>1684.9063640310915</v>
      </c>
      <c r="O97" s="6">
        <f t="shared" si="72"/>
        <v>0.11788493660655956</v>
      </c>
      <c r="P97" s="6">
        <f t="shared" si="73"/>
        <v>0.48659366789025321</v>
      </c>
      <c r="Q97" s="6">
        <f t="shared" si="74"/>
        <v>8.1324797866479167E-3</v>
      </c>
      <c r="R97" s="6">
        <f t="shared" si="75"/>
        <v>9.432687407882159E-3</v>
      </c>
      <c r="S97" s="6">
        <f t="shared" si="76"/>
        <v>9.7793461570096218E-3</v>
      </c>
      <c r="T97" s="6">
        <f t="shared" si="77"/>
        <v>0.36817688215164746</v>
      </c>
      <c r="V97" s="6">
        <f t="shared" si="78"/>
        <v>20.629863906147925</v>
      </c>
      <c r="W97" s="6">
        <f t="shared" si="79"/>
        <v>85.153891880794319</v>
      </c>
      <c r="X97" s="6">
        <f t="shared" si="80"/>
        <v>1.4231839626633853</v>
      </c>
      <c r="Y97" s="6">
        <f t="shared" si="81"/>
        <v>1.6507202963793779</v>
      </c>
      <c r="Z97" s="6">
        <f t="shared" si="82"/>
        <v>1.7113855774766837</v>
      </c>
      <c r="AA97" s="6">
        <f t="shared" si="83"/>
        <v>64.43095437653831</v>
      </c>
      <c r="AC97" s="14">
        <f t="shared" si="84"/>
        <v>8.049774022725914E-2</v>
      </c>
      <c r="AD97" s="17"/>
      <c r="AE97" s="15">
        <f t="shared" si="85"/>
        <v>6.4984583863768361E-2</v>
      </c>
    </row>
    <row r="98" spans="2:31" x14ac:dyDescent="0.2">
      <c r="B98" s="6">
        <f t="shared" si="61"/>
        <v>83</v>
      </c>
      <c r="C98" s="6">
        <f t="shared" si="62"/>
        <v>4.6510353660225272</v>
      </c>
      <c r="D98" s="6">
        <f t="shared" si="63"/>
        <v>141.70117886741747</v>
      </c>
      <c r="E98" s="6">
        <f t="shared" si="64"/>
        <v>0.36392651237251084</v>
      </c>
      <c r="F98" s="6">
        <f t="shared" si="65"/>
        <v>0.29811087156726912</v>
      </c>
      <c r="H98" s="6">
        <f t="shared" si="66"/>
        <v>538.82582288958872</v>
      </c>
      <c r="I98" s="6">
        <f t="shared" si="67"/>
        <v>2225.4391287346125</v>
      </c>
      <c r="J98" s="6">
        <f t="shared" si="68"/>
        <v>37.580568891581919</v>
      </c>
      <c r="K98" s="6">
        <f t="shared" si="69"/>
        <v>43.460723637354135</v>
      </c>
      <c r="L98" s="6">
        <f t="shared" si="70"/>
        <v>45.410648533417422</v>
      </c>
      <c r="M98" s="6">
        <f t="shared" si="71"/>
        <v>1684.9063640310915</v>
      </c>
      <c r="O98" s="6">
        <f t="shared" si="72"/>
        <v>0.11776009357818479</v>
      </c>
      <c r="P98" s="6">
        <f t="shared" si="73"/>
        <v>0.48636852377812367</v>
      </c>
      <c r="Q98" s="6">
        <f t="shared" si="74"/>
        <v>8.2132131041183203E-3</v>
      </c>
      <c r="R98" s="6">
        <f t="shared" si="75"/>
        <v>9.4983177589080987E-3</v>
      </c>
      <c r="S98" s="6">
        <f t="shared" si="76"/>
        <v>9.9244727954270109E-3</v>
      </c>
      <c r="T98" s="6">
        <f t="shared" si="77"/>
        <v>0.368235378985238</v>
      </c>
      <c r="V98" s="6">
        <f t="shared" si="78"/>
        <v>20.608016376182338</v>
      </c>
      <c r="W98" s="6">
        <f t="shared" si="79"/>
        <v>85.114491661171641</v>
      </c>
      <c r="X98" s="6">
        <f t="shared" si="80"/>
        <v>1.4373122932207061</v>
      </c>
      <c r="Y98" s="6">
        <f t="shared" si="81"/>
        <v>1.6622056078089174</v>
      </c>
      <c r="Z98" s="6">
        <f t="shared" si="82"/>
        <v>1.7367827391997268</v>
      </c>
      <c r="AA98" s="6">
        <f t="shared" si="83"/>
        <v>64.441191322416657</v>
      </c>
      <c r="AC98" s="14">
        <f t="shared" si="84"/>
        <v>7.8246343820802533E-2</v>
      </c>
      <c r="AD98" s="17"/>
      <c r="AE98" s="15">
        <f t="shared" si="85"/>
        <v>6.4095593369398005E-2</v>
      </c>
    </row>
    <row r="99" spans="2:31" x14ac:dyDescent="0.2">
      <c r="B99" s="6">
        <f t="shared" si="61"/>
        <v>84</v>
      </c>
      <c r="C99" s="6">
        <f t="shared" si="62"/>
        <v>4.7905664270032036</v>
      </c>
      <c r="D99" s="6">
        <f t="shared" si="63"/>
        <v>146.35221423344001</v>
      </c>
      <c r="E99" s="6">
        <f t="shared" si="64"/>
        <v>0.36435995702756496</v>
      </c>
      <c r="F99" s="6">
        <f t="shared" si="65"/>
        <v>0.30282138695551736</v>
      </c>
      <c r="H99" s="6">
        <f t="shared" si="66"/>
        <v>538.163785505649</v>
      </c>
      <c r="I99" s="6">
        <f t="shared" si="67"/>
        <v>2224.0492383259279</v>
      </c>
      <c r="J99" s="6">
        <f t="shared" si="68"/>
        <v>37.944495403954427</v>
      </c>
      <c r="K99" s="6">
        <f t="shared" si="69"/>
        <v>43.758834508921403</v>
      </c>
      <c r="L99" s="6">
        <f t="shared" si="70"/>
        <v>46.072685917357198</v>
      </c>
      <c r="M99" s="6">
        <f t="shared" si="71"/>
        <v>1684.9063640310915</v>
      </c>
      <c r="O99" s="6">
        <f t="shared" si="72"/>
        <v>0.1176341179453497</v>
      </c>
      <c r="P99" s="6">
        <f t="shared" si="73"/>
        <v>0.48614209551778015</v>
      </c>
      <c r="Q99" s="6">
        <f t="shared" si="74"/>
        <v>8.2940684006294983E-3</v>
      </c>
      <c r="R99" s="6">
        <f t="shared" si="75"/>
        <v>9.5649912506412336E-3</v>
      </c>
      <c r="S99" s="6">
        <f t="shared" si="76"/>
        <v>1.0070762684577851E-2</v>
      </c>
      <c r="T99" s="6">
        <f t="shared" si="77"/>
        <v>0.36829396420102151</v>
      </c>
      <c r="V99" s="6">
        <f t="shared" si="78"/>
        <v>20.585970640436198</v>
      </c>
      <c r="W99" s="6">
        <f t="shared" si="79"/>
        <v>85.07486671561152</v>
      </c>
      <c r="X99" s="6">
        <f t="shared" si="80"/>
        <v>1.4514619701101621</v>
      </c>
      <c r="Y99" s="6">
        <f t="shared" si="81"/>
        <v>1.6738734688622159</v>
      </c>
      <c r="Z99" s="6">
        <f t="shared" si="82"/>
        <v>1.762383469801124</v>
      </c>
      <c r="AA99" s="6">
        <f t="shared" si="83"/>
        <v>64.451443735178771</v>
      </c>
      <c r="AC99" s="14">
        <f t="shared" si="84"/>
        <v>7.6057802888142956E-2</v>
      </c>
      <c r="AD99" s="17"/>
      <c r="AE99" s="15">
        <f t="shared" si="85"/>
        <v>6.3212021285956974E-2</v>
      </c>
    </row>
    <row r="100" spans="2:31" x14ac:dyDescent="0.2">
      <c r="B100" s="6">
        <f t="shared" si="61"/>
        <v>85</v>
      </c>
      <c r="C100" s="6">
        <f t="shared" si="62"/>
        <v>4.9342834198132994</v>
      </c>
      <c r="D100" s="6">
        <f t="shared" si="63"/>
        <v>151.14278066044321</v>
      </c>
      <c r="E100" s="6">
        <f t="shared" si="64"/>
        <v>0.36479318139352723</v>
      </c>
      <c r="F100" s="6">
        <f t="shared" si="65"/>
        <v>0.30757244178125309</v>
      </c>
      <c r="H100" s="6">
        <f t="shared" si="66"/>
        <v>537.49660416166591</v>
      </c>
      <c r="I100" s="6">
        <f t="shared" si="67"/>
        <v>2222.6533370678894</v>
      </c>
      <c r="J100" s="6">
        <f t="shared" si="68"/>
        <v>38.308855360981994</v>
      </c>
      <c r="K100" s="6">
        <f t="shared" si="69"/>
        <v>44.061655895876918</v>
      </c>
      <c r="L100" s="6">
        <f t="shared" si="70"/>
        <v>46.739867261340279</v>
      </c>
      <c r="M100" s="6">
        <f t="shared" si="71"/>
        <v>1684.9063640310915</v>
      </c>
      <c r="O100" s="6">
        <f t="shared" si="72"/>
        <v>0.11750699992367247</v>
      </c>
      <c r="P100" s="6">
        <f t="shared" si="73"/>
        <v>0.48591437320156733</v>
      </c>
      <c r="Q100" s="6">
        <f t="shared" si="74"/>
        <v>8.375045775405366E-3</v>
      </c>
      <c r="R100" s="6">
        <f t="shared" si="75"/>
        <v>9.6327175946890435E-3</v>
      </c>
      <c r="S100" s="6">
        <f t="shared" si="76"/>
        <v>1.0218225633773186E-2</v>
      </c>
      <c r="T100" s="6">
        <f t="shared" si="77"/>
        <v>0.36835263787089279</v>
      </c>
      <c r="V100" s="6">
        <f t="shared" si="78"/>
        <v>20.563724986642683</v>
      </c>
      <c r="W100" s="6">
        <f t="shared" si="79"/>
        <v>85.035015310274289</v>
      </c>
      <c r="X100" s="6">
        <f t="shared" si="80"/>
        <v>1.465633010695939</v>
      </c>
      <c r="Y100" s="6">
        <f t="shared" si="81"/>
        <v>1.6857255790705825</v>
      </c>
      <c r="Z100" s="6">
        <f t="shared" si="82"/>
        <v>1.7881894859103076</v>
      </c>
      <c r="AA100" s="6">
        <f t="shared" si="83"/>
        <v>64.461711627406231</v>
      </c>
      <c r="AC100" s="14">
        <f t="shared" si="84"/>
        <v>7.393032591697582E-2</v>
      </c>
      <c r="AD100" s="17"/>
      <c r="AE100" s="15">
        <f t="shared" si="85"/>
        <v>6.2333760672566081E-2</v>
      </c>
    </row>
    <row r="101" spans="2:31" x14ac:dyDescent="0.2">
      <c r="B101" s="6">
        <f t="shared" si="61"/>
        <v>86</v>
      </c>
      <c r="C101" s="6">
        <f t="shared" si="62"/>
        <v>5.0823119224076985</v>
      </c>
      <c r="D101" s="6">
        <f t="shared" si="63"/>
        <v>156.07706408025652</v>
      </c>
      <c r="E101" s="6">
        <f t="shared" si="64"/>
        <v>0.36522601630996354</v>
      </c>
      <c r="F101" s="6">
        <f t="shared" si="65"/>
        <v>0.31236249074260286</v>
      </c>
      <c r="H101" s="6">
        <f t="shared" si="66"/>
        <v>536.82423853849104</v>
      </c>
      <c r="I101" s="6">
        <f t="shared" si="67"/>
        <v>2221.2513850819278</v>
      </c>
      <c r="J101" s="6">
        <f t="shared" si="68"/>
        <v>38.673648542375524</v>
      </c>
      <c r="K101" s="6">
        <f t="shared" si="69"/>
        <v>44.369228337658171</v>
      </c>
      <c r="L101" s="6">
        <f t="shared" si="70"/>
        <v>47.412232884515063</v>
      </c>
      <c r="M101" s="6">
        <f t="shared" si="71"/>
        <v>1684.9063640310915</v>
      </c>
      <c r="O101" s="6">
        <f t="shared" si="72"/>
        <v>0.11737873006754389</v>
      </c>
      <c r="P101" s="6">
        <f t="shared" si="73"/>
        <v>0.48568534731502266</v>
      </c>
      <c r="Q101" s="6">
        <f t="shared" si="74"/>
        <v>8.456145283866635E-3</v>
      </c>
      <c r="R101" s="6">
        <f t="shared" si="75"/>
        <v>9.7015061960131228E-3</v>
      </c>
      <c r="S101" s="6">
        <f t="shared" si="76"/>
        <v>1.0366871102546145E-2</v>
      </c>
      <c r="T101" s="6">
        <f t="shared" si="77"/>
        <v>0.3684114000350075</v>
      </c>
      <c r="V101" s="6">
        <f t="shared" si="78"/>
        <v>20.541277761820179</v>
      </c>
      <c r="W101" s="6">
        <f t="shared" si="79"/>
        <v>84.994935780128969</v>
      </c>
      <c r="X101" s="6">
        <f t="shared" si="80"/>
        <v>1.4798254246766611</v>
      </c>
      <c r="Y101" s="6">
        <f t="shared" si="81"/>
        <v>1.6977635843022965</v>
      </c>
      <c r="Z101" s="6">
        <f t="shared" si="82"/>
        <v>1.8142024429455754</v>
      </c>
      <c r="AA101" s="6">
        <f t="shared" si="83"/>
        <v>64.471995006126306</v>
      </c>
      <c r="AC101" s="14">
        <f t="shared" si="84"/>
        <v>7.1862180418265448E-2</v>
      </c>
      <c r="AD101" s="17"/>
      <c r="AE101" s="15">
        <f t="shared" si="85"/>
        <v>6.1460708337363126E-2</v>
      </c>
    </row>
    <row r="102" spans="2:31" x14ac:dyDescent="0.2">
      <c r="B102" s="6">
        <f t="shared" si="61"/>
        <v>87</v>
      </c>
      <c r="C102" s="6">
        <f t="shared" si="62"/>
        <v>5.2347812800799298</v>
      </c>
      <c r="D102" s="6">
        <f t="shared" si="63"/>
        <v>161.15937600266423</v>
      </c>
      <c r="E102" s="6">
        <f t="shared" si="64"/>
        <v>0.36565832161104345</v>
      </c>
      <c r="F102" s="6">
        <f t="shared" si="65"/>
        <v>0.317189870712766</v>
      </c>
      <c r="H102" s="6">
        <f t="shared" si="66"/>
        <v>536.14665003143841</v>
      </c>
      <c r="I102" s="6">
        <f t="shared" si="67"/>
        <v>2219.8433445422552</v>
      </c>
      <c r="J102" s="6">
        <f t="shared" si="68"/>
        <v>39.038874558685485</v>
      </c>
      <c r="K102" s="6">
        <f t="shared" si="69"/>
        <v>44.681590828400772</v>
      </c>
      <c r="L102" s="6">
        <f t="shared" si="70"/>
        <v>48.089821391567625</v>
      </c>
      <c r="M102" s="6">
        <f t="shared" si="71"/>
        <v>1684.9063640310915</v>
      </c>
      <c r="O102" s="6">
        <f t="shared" si="72"/>
        <v>0.11724929929032885</v>
      </c>
      <c r="P102" s="6">
        <f t="shared" si="73"/>
        <v>0.4854550087492247</v>
      </c>
      <c r="Q102" s="6">
        <f t="shared" si="74"/>
        <v>8.5373669439518414E-3</v>
      </c>
      <c r="R102" s="6">
        <f t="shared" si="75"/>
        <v>9.7713661280919659E-3</v>
      </c>
      <c r="S102" s="6">
        <f t="shared" si="76"/>
        <v>1.0516708182038892E-2</v>
      </c>
      <c r="T102" s="6">
        <f t="shared" si="77"/>
        <v>0.3684702507063638</v>
      </c>
      <c r="V102" s="6">
        <f t="shared" si="78"/>
        <v>20.518627375807547</v>
      </c>
      <c r="W102" s="6">
        <f t="shared" si="79"/>
        <v>84.954626531114329</v>
      </c>
      <c r="X102" s="6">
        <f t="shared" si="80"/>
        <v>1.4940392151915722</v>
      </c>
      <c r="Y102" s="6">
        <f t="shared" si="81"/>
        <v>1.709989072416094</v>
      </c>
      <c r="Z102" s="6">
        <f t="shared" si="82"/>
        <v>1.8404239318568061</v>
      </c>
      <c r="AA102" s="6">
        <f t="shared" si="83"/>
        <v>64.482293873613671</v>
      </c>
      <c r="AC102" s="14">
        <f t="shared" si="84"/>
        <v>6.985169046173792E-2</v>
      </c>
      <c r="AD102" s="17"/>
      <c r="AE102" s="15">
        <f t="shared" si="85"/>
        <v>6.0592764767417907E-2</v>
      </c>
    </row>
    <row r="103" spans="2:31" x14ac:dyDescent="0.2">
      <c r="B103" s="6">
        <f t="shared" si="61"/>
        <v>88</v>
      </c>
      <c r="C103" s="6">
        <f t="shared" si="62"/>
        <v>5.3918247184823276</v>
      </c>
      <c r="D103" s="6">
        <f t="shared" si="63"/>
        <v>166.39415728274417</v>
      </c>
      <c r="E103" s="6">
        <f t="shared" si="64"/>
        <v>0.36608998642805007</v>
      </c>
      <c r="F103" s="6">
        <f t="shared" si="65"/>
        <v>0.32205279575109408</v>
      </c>
      <c r="H103" s="6">
        <f t="shared" si="66"/>
        <v>535.46380183911458</v>
      </c>
      <c r="I103" s="6">
        <f t="shared" si="67"/>
        <v>2218.4291797067094</v>
      </c>
      <c r="J103" s="6">
        <f t="shared" si="68"/>
        <v>39.404532880296529</v>
      </c>
      <c r="K103" s="6">
        <f t="shared" si="69"/>
        <v>44.998780699113539</v>
      </c>
      <c r="L103" s="6">
        <f t="shared" si="70"/>
        <v>48.772669583891435</v>
      </c>
      <c r="M103" s="6">
        <f t="shared" si="71"/>
        <v>1684.9063640310915</v>
      </c>
      <c r="O103" s="6">
        <f t="shared" si="72"/>
        <v>0.11711869888559935</v>
      </c>
      <c r="P103" s="6">
        <f t="shared" si="73"/>
        <v>0.48522334881408591</v>
      </c>
      <c r="Q103" s="6">
        <f t="shared" si="74"/>
        <v>8.6187107425083655E-3</v>
      </c>
      <c r="R103" s="6">
        <f t="shared" si="75"/>
        <v>9.8423061070000793E-3</v>
      </c>
      <c r="S103" s="6">
        <f t="shared" si="76"/>
        <v>1.0667745575374851E-2</v>
      </c>
      <c r="T103" s="6">
        <f t="shared" si="77"/>
        <v>0.36852918987543143</v>
      </c>
      <c r="V103" s="6">
        <f t="shared" si="78"/>
        <v>20.495772304979887</v>
      </c>
      <c r="W103" s="6">
        <f t="shared" si="79"/>
        <v>84.91408604246503</v>
      </c>
      <c r="X103" s="6">
        <f t="shared" si="80"/>
        <v>1.508274379938964</v>
      </c>
      <c r="Y103" s="6">
        <f t="shared" si="81"/>
        <v>1.7224035687250139</v>
      </c>
      <c r="Z103" s="6">
        <f t="shared" si="82"/>
        <v>1.8668554756905991</v>
      </c>
      <c r="AA103" s="6">
        <f t="shared" si="83"/>
        <v>64.492608228200496</v>
      </c>
      <c r="AC103" s="14">
        <f t="shared" si="84"/>
        <v>6.789723433945305E-2</v>
      </c>
      <c r="AD103" s="17"/>
      <c r="AE103" s="15">
        <f t="shared" si="85"/>
        <v>5.9729834066591166E-2</v>
      </c>
    </row>
    <row r="104" spans="2:31" x14ac:dyDescent="0.2">
      <c r="B104" s="6">
        <f t="shared" si="61"/>
        <v>89</v>
      </c>
      <c r="C104" s="6">
        <f t="shared" si="62"/>
        <v>5.5535794600367971</v>
      </c>
      <c r="D104" s="6">
        <f t="shared" si="63"/>
        <v>171.7859820012265</v>
      </c>
      <c r="E104" s="6">
        <f t="shared" si="64"/>
        <v>0.36652092953187931</v>
      </c>
      <c r="F104" s="6">
        <f t="shared" si="65"/>
        <v>0.32694935199180925</v>
      </c>
      <c r="H104" s="6">
        <f t="shared" si="66"/>
        <v>534.77565905693541</v>
      </c>
      <c r="I104" s="6">
        <f t="shared" si="67"/>
        <v>2217.0088569516743</v>
      </c>
      <c r="J104" s="6">
        <f t="shared" si="68"/>
        <v>39.77062286672458</v>
      </c>
      <c r="K104" s="6">
        <f t="shared" si="69"/>
        <v>45.32083349486463</v>
      </c>
      <c r="L104" s="6">
        <f t="shared" si="70"/>
        <v>49.460812366070577</v>
      </c>
      <c r="M104" s="6">
        <f t="shared" si="71"/>
        <v>1684.9063640310915</v>
      </c>
      <c r="O104" s="6">
        <f t="shared" si="72"/>
        <v>0.11698692054942167</v>
      </c>
      <c r="P104" s="6">
        <f t="shared" si="73"/>
        <v>0.48499035925260114</v>
      </c>
      <c r="Q104" s="6">
        <f t="shared" si="74"/>
        <v>8.700176641762921E-3</v>
      </c>
      <c r="R104" s="6">
        <f t="shared" si="75"/>
        <v>9.9143344643755002E-3</v>
      </c>
      <c r="S104" s="6">
        <f t="shared" si="76"/>
        <v>1.0819991576997545E-2</v>
      </c>
      <c r="T104" s="6">
        <f t="shared" si="77"/>
        <v>0.36858821751484117</v>
      </c>
      <c r="V104" s="6">
        <f t="shared" si="78"/>
        <v>20.472711096148792</v>
      </c>
      <c r="W104" s="6">
        <f t="shared" si="79"/>
        <v>84.873312869205193</v>
      </c>
      <c r="X104" s="6">
        <f t="shared" si="80"/>
        <v>1.5225309123085111</v>
      </c>
      <c r="Y104" s="6">
        <f t="shared" si="81"/>
        <v>1.7350085312657126</v>
      </c>
      <c r="Z104" s="6">
        <f t="shared" si="82"/>
        <v>1.8934985259745702</v>
      </c>
      <c r="AA104" s="6">
        <f t="shared" si="83"/>
        <v>64.502938065097197</v>
      </c>
      <c r="AC104" s="14">
        <f t="shared" si="84"/>
        <v>6.5997242349612628E-2</v>
      </c>
      <c r="AD104" s="17"/>
      <c r="AE104" s="15">
        <f t="shared" si="85"/>
        <v>5.8871823901056226E-2</v>
      </c>
    </row>
    <row r="105" spans="2:31" x14ac:dyDescent="0.2">
      <c r="B105" s="6">
        <f t="shared" si="61"/>
        <v>90</v>
      </c>
      <c r="C105" s="6">
        <f t="shared" si="62"/>
        <v>5.7201868438379009</v>
      </c>
      <c r="D105" s="6">
        <f t="shared" si="63"/>
        <v>177.33956146126329</v>
      </c>
      <c r="E105" s="6">
        <f t="shared" si="64"/>
        <v>0.36695109971430162</v>
      </c>
      <c r="F105" s="6">
        <f t="shared" si="65"/>
        <v>0.33187749241309966</v>
      </c>
      <c r="H105" s="6">
        <f t="shared" si="66"/>
        <v>534.08218877541162</v>
      </c>
      <c r="I105" s="6">
        <f t="shared" si="67"/>
        <v>2215.5823448110868</v>
      </c>
      <c r="J105" s="6">
        <f t="shared" si="68"/>
        <v>40.13714379625646</v>
      </c>
      <c r="K105" s="6">
        <f t="shared" si="69"/>
        <v>45.647782846856437</v>
      </c>
      <c r="L105" s="6">
        <f t="shared" si="70"/>
        <v>50.154282647594265</v>
      </c>
      <c r="M105" s="6">
        <f t="shared" si="71"/>
        <v>1684.9063640310915</v>
      </c>
      <c r="O105" s="6">
        <f t="shared" si="72"/>
        <v>0.11685395640371733</v>
      </c>
      <c r="P105" s="6">
        <f t="shared" si="73"/>
        <v>0.48475603225606001</v>
      </c>
      <c r="Q105" s="6">
        <f t="shared" si="74"/>
        <v>8.7817645858805603E-3</v>
      </c>
      <c r="R105" s="6">
        <f t="shared" si="75"/>
        <v>9.9874591192480027E-3</v>
      </c>
      <c r="S105" s="6">
        <f t="shared" si="76"/>
        <v>1.0973454050957327E-2</v>
      </c>
      <c r="T105" s="6">
        <f t="shared" si="77"/>
        <v>0.3686473335841367</v>
      </c>
      <c r="V105" s="6">
        <f t="shared" si="78"/>
        <v>20.449442370650534</v>
      </c>
      <c r="W105" s="6">
        <f t="shared" si="79"/>
        <v>84.832305644810504</v>
      </c>
      <c r="X105" s="6">
        <f t="shared" si="80"/>
        <v>1.536808802529098</v>
      </c>
      <c r="Y105" s="6">
        <f t="shared" si="81"/>
        <v>1.7478053458684004</v>
      </c>
      <c r="Z105" s="6">
        <f t="shared" si="82"/>
        <v>1.9203544589175323</v>
      </c>
      <c r="AA105" s="6">
        <f t="shared" si="83"/>
        <v>64.513283377223928</v>
      </c>
      <c r="AC105" s="14">
        <f t="shared" si="84"/>
        <v>6.4150194693308224E-2</v>
      </c>
      <c r="AD105" s="17"/>
      <c r="AE105" s="15">
        <f t="shared" si="85"/>
        <v>5.8018645452222649E-2</v>
      </c>
    </row>
    <row r="106" spans="2:31" x14ac:dyDescent="0.2">
      <c r="B106" s="6">
        <f t="shared" si="61"/>
        <v>91</v>
      </c>
      <c r="C106" s="6">
        <f t="shared" si="62"/>
        <v>5.891792449153038</v>
      </c>
      <c r="D106" s="6">
        <f t="shared" si="63"/>
        <v>183.05974830510118</v>
      </c>
      <c r="E106" s="6">
        <f t="shared" si="64"/>
        <v>0.36738047620687114</v>
      </c>
      <c r="F106" s="6">
        <f t="shared" si="65"/>
        <v>0.33683503149001776</v>
      </c>
      <c r="H106" s="6">
        <f t="shared" si="66"/>
        <v>533.38336018328414</v>
      </c>
      <c r="I106" s="6">
        <f t="shared" si="67"/>
        <v>2214.1496140195309</v>
      </c>
      <c r="J106" s="6">
        <f t="shared" si="68"/>
        <v>40.504094895970759</v>
      </c>
      <c r="K106" s="6">
        <f t="shared" si="69"/>
        <v>45.979660339269536</v>
      </c>
      <c r="L106" s="6">
        <f t="shared" si="70"/>
        <v>50.853111239721663</v>
      </c>
      <c r="M106" s="6">
        <f t="shared" si="71"/>
        <v>1684.9063640310915</v>
      </c>
      <c r="O106" s="6">
        <f t="shared" si="72"/>
        <v>0.1167197990207192</v>
      </c>
      <c r="P106" s="6">
        <f t="shared" si="73"/>
        <v>0.48452036048023267</v>
      </c>
      <c r="Q106" s="6">
        <f t="shared" si="74"/>
        <v>8.8634745076211427E-3</v>
      </c>
      <c r="R106" s="6">
        <f t="shared" si="75"/>
        <v>1.0061687548701043E-2</v>
      </c>
      <c r="S106" s="6">
        <f t="shared" si="76"/>
        <v>1.1128140408127801E-2</v>
      </c>
      <c r="T106" s="6">
        <f t="shared" si="77"/>
        <v>0.36870653803459796</v>
      </c>
      <c r="V106" s="6">
        <f t="shared" si="78"/>
        <v>20.425964828625862</v>
      </c>
      <c r="W106" s="6">
        <f t="shared" si="79"/>
        <v>84.791063084040715</v>
      </c>
      <c r="X106" s="6">
        <f t="shared" si="80"/>
        <v>1.5511080388337</v>
      </c>
      <c r="Y106" s="6">
        <f t="shared" si="81"/>
        <v>1.7607953210226825</v>
      </c>
      <c r="Z106" s="6">
        <f t="shared" si="82"/>
        <v>1.947424571422365</v>
      </c>
      <c r="AA106" s="6">
        <f t="shared" si="83"/>
        <v>64.523644156054644</v>
      </c>
      <c r="AC106" s="14">
        <f t="shared" si="84"/>
        <v>6.23546194774195E-2</v>
      </c>
      <c r="AD106" s="17"/>
      <c r="AE106" s="15">
        <f t="shared" si="85"/>
        <v>5.7170213376820281E-2</v>
      </c>
    </row>
    <row r="107" spans="2:31" x14ac:dyDescent="0.2">
      <c r="B107" s="6">
        <f t="shared" si="61"/>
        <v>92</v>
      </c>
      <c r="C107" s="6">
        <f t="shared" si="62"/>
        <v>6.0685462226276297</v>
      </c>
      <c r="D107" s="6">
        <f t="shared" si="63"/>
        <v>188.95154075425421</v>
      </c>
      <c r="E107" s="6">
        <f t="shared" si="64"/>
        <v>0.36780906913647304</v>
      </c>
      <c r="F107" s="6">
        <f t="shared" si="65"/>
        <v>0.34181963973535523</v>
      </c>
      <c r="H107" s="6">
        <f t="shared" si="66"/>
        <v>532.67914467558717</v>
      </c>
      <c r="I107" s="6">
        <f t="shared" si="67"/>
        <v>2212.7106375594203</v>
      </c>
      <c r="J107" s="6">
        <f t="shared" si="68"/>
        <v>40.871475372177628</v>
      </c>
      <c r="K107" s="6">
        <f t="shared" si="69"/>
        <v>46.316495370759554</v>
      </c>
      <c r="L107" s="6">
        <f t="shared" si="70"/>
        <v>51.55732674741855</v>
      </c>
      <c r="M107" s="6">
        <f t="shared" si="71"/>
        <v>1684.9063640310915</v>
      </c>
      <c r="O107" s="6">
        <f t="shared" si="72"/>
        <v>0.11658444144854223</v>
      </c>
      <c r="P107" s="6">
        <f t="shared" si="73"/>
        <v>0.48428333706253979</v>
      </c>
      <c r="Q107" s="6">
        <f t="shared" si="74"/>
        <v>8.9453063351018752E-3</v>
      </c>
      <c r="R107" s="6">
        <f t="shared" si="75"/>
        <v>1.0137026757341093E-2</v>
      </c>
      <c r="S107" s="6">
        <f t="shared" si="76"/>
        <v>1.1284057582334054E-2</v>
      </c>
      <c r="T107" s="6">
        <f t="shared" si="77"/>
        <v>0.3687658308141411</v>
      </c>
      <c r="V107" s="6">
        <f t="shared" si="78"/>
        <v>20.402277253494891</v>
      </c>
      <c r="W107" s="6">
        <f t="shared" si="79"/>
        <v>84.749583985944469</v>
      </c>
      <c r="X107" s="6">
        <f t="shared" si="80"/>
        <v>1.5654286086428282</v>
      </c>
      <c r="Y107" s="6">
        <f t="shared" si="81"/>
        <v>1.7739796825346912</v>
      </c>
      <c r="Z107" s="6">
        <f t="shared" si="82"/>
        <v>1.9747100769084596</v>
      </c>
      <c r="AA107" s="6">
        <f t="shared" si="83"/>
        <v>64.534020392474687</v>
      </c>
      <c r="AC107" s="14">
        <f t="shared" si="84"/>
        <v>6.0609090817341553E-2</v>
      </c>
      <c r="AD107" s="17"/>
      <c r="AE107" s="15">
        <f t="shared" si="85"/>
        <v>5.6326445773918848E-2</v>
      </c>
    </row>
    <row r="108" spans="2:31" x14ac:dyDescent="0.2">
      <c r="B108" s="6">
        <f t="shared" si="61"/>
        <v>93</v>
      </c>
      <c r="C108" s="6">
        <f t="shared" si="62"/>
        <v>6.2506026093064584</v>
      </c>
      <c r="D108" s="6">
        <f t="shared" si="63"/>
        <v>195.02008697688183</v>
      </c>
      <c r="E108" s="6">
        <f t="shared" si="64"/>
        <v>0.36823692001658115</v>
      </c>
      <c r="F108" s="6">
        <f t="shared" si="65"/>
        <v>0.34682883813348286</v>
      </c>
      <c r="H108" s="6">
        <f t="shared" si="66"/>
        <v>531.96951596671533</v>
      </c>
      <c r="I108" s="6">
        <f t="shared" si="67"/>
        <v>2211.2653907122758</v>
      </c>
      <c r="J108" s="6">
        <f t="shared" si="68"/>
        <v>41.239284441314098</v>
      </c>
      <c r="K108" s="6">
        <f t="shared" si="69"/>
        <v>46.65831501049491</v>
      </c>
      <c r="L108" s="6">
        <f t="shared" si="70"/>
        <v>52.266955456290376</v>
      </c>
      <c r="M108" s="6">
        <f t="shared" si="71"/>
        <v>1684.9063640310915</v>
      </c>
      <c r="O108" s="6">
        <f t="shared" si="72"/>
        <v>0.11644787723788817</v>
      </c>
      <c r="P108" s="6">
        <f t="shared" si="73"/>
        <v>0.48404495564021227</v>
      </c>
      <c r="Q108" s="6">
        <f t="shared" si="74"/>
        <v>9.0272599986743699E-3</v>
      </c>
      <c r="R108" s="6">
        <f t="shared" si="75"/>
        <v>1.0213483245548939E-2</v>
      </c>
      <c r="S108" s="6">
        <f t="shared" si="76"/>
        <v>1.1441212005375677E-2</v>
      </c>
      <c r="T108" s="6">
        <f t="shared" si="77"/>
        <v>0.36882521187230077</v>
      </c>
      <c r="V108" s="6">
        <f t="shared" si="78"/>
        <v>20.378378516630431</v>
      </c>
      <c r="W108" s="6">
        <f t="shared" si="79"/>
        <v>84.707867237037149</v>
      </c>
      <c r="X108" s="6">
        <f t="shared" si="80"/>
        <v>1.5797704997680146</v>
      </c>
      <c r="Y108" s="6">
        <f t="shared" si="81"/>
        <v>1.7873595679710643</v>
      </c>
      <c r="Z108" s="6">
        <f t="shared" si="82"/>
        <v>2.0022121009407434</v>
      </c>
      <c r="AA108" s="6">
        <f t="shared" si="83"/>
        <v>64.544412077652638</v>
      </c>
      <c r="AC108" s="14">
        <f t="shared" si="84"/>
        <v>5.8912227033649039E-2</v>
      </c>
      <c r="AD108" s="17"/>
      <c r="AE108" s="15">
        <f t="shared" si="85"/>
        <v>5.5487264158673749E-2</v>
      </c>
    </row>
    <row r="109" spans="2:31" x14ac:dyDescent="0.2">
      <c r="B109" s="6">
        <f t="shared" si="61"/>
        <v>94</v>
      </c>
      <c r="C109" s="6">
        <f t="shared" si="62"/>
        <v>6.438120687585652</v>
      </c>
      <c r="D109" s="6">
        <f t="shared" si="63"/>
        <v>201.2706895861883</v>
      </c>
      <c r="E109" s="6">
        <f t="shared" si="64"/>
        <v>0.3686641022734044</v>
      </c>
      <c r="F109" s="6">
        <f t="shared" si="65"/>
        <v>0.3518599924730279</v>
      </c>
      <c r="H109" s="6">
        <f t="shared" si="66"/>
        <v>531.25445020856534</v>
      </c>
      <c r="I109" s="6">
        <f t="shared" si="67"/>
        <v>2209.8138511140924</v>
      </c>
      <c r="J109" s="6">
        <f t="shared" si="68"/>
        <v>41.607521361330676</v>
      </c>
      <c r="K109" s="6">
        <f t="shared" si="69"/>
        <v>47.005143848628393</v>
      </c>
      <c r="L109" s="6">
        <f t="shared" si="70"/>
        <v>52.982021214440437</v>
      </c>
      <c r="M109" s="6">
        <f t="shared" si="71"/>
        <v>1684.9063640310915</v>
      </c>
      <c r="O109" s="6">
        <f t="shared" si="72"/>
        <v>0.1163101004699028</v>
      </c>
      <c r="P109" s="6">
        <f t="shared" si="73"/>
        <v>0.48380521036945273</v>
      </c>
      <c r="Q109" s="6">
        <f t="shared" si="74"/>
        <v>9.1093354379245314E-3</v>
      </c>
      <c r="R109" s="6">
        <f t="shared" si="75"/>
        <v>1.0291062976488654E-2</v>
      </c>
      <c r="S109" s="6">
        <f t="shared" si="76"/>
        <v>1.1599609580928334E-2</v>
      </c>
      <c r="T109" s="6">
        <f t="shared" si="77"/>
        <v>0.36888468116530282</v>
      </c>
      <c r="V109" s="6">
        <f t="shared" si="78"/>
        <v>20.354267582232989</v>
      </c>
      <c r="W109" s="6">
        <f t="shared" si="79"/>
        <v>84.665911814654223</v>
      </c>
      <c r="X109" s="6">
        <f t="shared" si="80"/>
        <v>1.5941337016367929</v>
      </c>
      <c r="Y109" s="6">
        <f t="shared" si="81"/>
        <v>1.8009360208855145</v>
      </c>
      <c r="Z109" s="6">
        <f t="shared" si="82"/>
        <v>2.0299316766624584</v>
      </c>
      <c r="AA109" s="6">
        <f t="shared" si="83"/>
        <v>64.554819203927991</v>
      </c>
      <c r="AC109" s="14">
        <f t="shared" si="84"/>
        <v>5.7262688937205437E-2</v>
      </c>
      <c r="AD109" s="17"/>
      <c r="AE109" s="15">
        <f t="shared" si="85"/>
        <v>5.4652593442602627E-2</v>
      </c>
    </row>
    <row r="110" spans="2:31" x14ac:dyDescent="0.2">
      <c r="B110" s="6">
        <f t="shared" si="61"/>
        <v>95</v>
      </c>
      <c r="C110" s="6">
        <f t="shared" si="62"/>
        <v>6.6312643082132219</v>
      </c>
      <c r="D110" s="6">
        <f t="shared" si="63"/>
        <v>207.70881027377396</v>
      </c>
      <c r="E110" s="6">
        <f t="shared" si="64"/>
        <v>0.36909072180616481</v>
      </c>
      <c r="F110" s="6">
        <f t="shared" si="65"/>
        <v>0.3569103075852138</v>
      </c>
      <c r="H110" s="6">
        <f t="shared" si="66"/>
        <v>530.53392611381889</v>
      </c>
      <c r="I110" s="6">
        <f t="shared" si="67"/>
        <v>2208.355998814799</v>
      </c>
      <c r="J110" s="6">
        <f t="shared" si="68"/>
        <v>41.976185463604082</v>
      </c>
      <c r="K110" s="6">
        <f t="shared" si="69"/>
        <v>47.357003841101424</v>
      </c>
      <c r="L110" s="6">
        <f t="shared" si="70"/>
        <v>53.702545309186874</v>
      </c>
      <c r="M110" s="6">
        <f t="shared" si="71"/>
        <v>1684.9063640310915</v>
      </c>
      <c r="O110" s="6">
        <f t="shared" si="72"/>
        <v>0.11617110578520243</v>
      </c>
      <c r="P110" s="6">
        <f t="shared" si="73"/>
        <v>0.4835640959456034</v>
      </c>
      <c r="Q110" s="6">
        <f t="shared" si="74"/>
        <v>9.1915326088033364E-3</v>
      </c>
      <c r="R110" s="6">
        <f t="shared" si="75"/>
        <v>1.0369771341851106E-2</v>
      </c>
      <c r="S110" s="6">
        <f t="shared" si="76"/>
        <v>1.1759255657308803E-2</v>
      </c>
      <c r="T110" s="6">
        <f t="shared" si="77"/>
        <v>0.36894423866123105</v>
      </c>
      <c r="V110" s="6">
        <f t="shared" si="78"/>
        <v>20.329943512410424</v>
      </c>
      <c r="W110" s="6">
        <f t="shared" si="79"/>
        <v>84.6237167904806</v>
      </c>
      <c r="X110" s="6">
        <f t="shared" si="80"/>
        <v>1.6085182065405839</v>
      </c>
      <c r="Y110" s="6">
        <f t="shared" si="81"/>
        <v>1.8147099848239436</v>
      </c>
      <c r="Z110" s="6">
        <f t="shared" si="82"/>
        <v>2.0578697400290404</v>
      </c>
      <c r="AA110" s="6">
        <f t="shared" si="83"/>
        <v>64.565241765715427</v>
      </c>
      <c r="AC110" s="14">
        <f t="shared" si="84"/>
        <v>5.5659178197591017E-2</v>
      </c>
      <c r="AD110" s="17"/>
      <c r="AE110" s="15">
        <f t="shared" si="85"/>
        <v>5.382236192020861E-2</v>
      </c>
    </row>
    <row r="111" spans="2:31" x14ac:dyDescent="0.2">
      <c r="B111" s="6">
        <f t="shared" si="61"/>
        <v>96</v>
      </c>
      <c r="C111" s="6">
        <f t="shared" si="62"/>
        <v>6.830202237459619</v>
      </c>
      <c r="D111" s="6">
        <f t="shared" si="63"/>
        <v>214.34007458198718</v>
      </c>
      <c r="E111" s="6">
        <f t="shared" si="64"/>
        <v>0.36951691758085381</v>
      </c>
      <c r="F111" s="6">
        <f t="shared" si="65"/>
        <v>0.36197682149572807</v>
      </c>
      <c r="H111" s="6">
        <f t="shared" si="66"/>
        <v>529.80792508442755</v>
      </c>
      <c r="I111" s="6">
        <f t="shared" si="67"/>
        <v>2206.8918163417952</v>
      </c>
      <c r="J111" s="6">
        <f t="shared" si="68"/>
        <v>42.345276185410249</v>
      </c>
      <c r="K111" s="6">
        <f t="shared" si="69"/>
        <v>47.713914148686641</v>
      </c>
      <c r="L111" s="6">
        <f t="shared" si="70"/>
        <v>54.428546338578258</v>
      </c>
      <c r="M111" s="6">
        <f t="shared" si="71"/>
        <v>1684.9063640310915</v>
      </c>
      <c r="O111" s="6">
        <f t="shared" si="72"/>
        <v>0.11603088841408547</v>
      </c>
      <c r="P111" s="6">
        <f t="shared" si="73"/>
        <v>0.48332160762432458</v>
      </c>
      <c r="Q111" s="6">
        <f t="shared" si="74"/>
        <v>9.2738514908964394E-3</v>
      </c>
      <c r="R111" s="6">
        <f t="shared" si="75"/>
        <v>1.0449613126310405E-2</v>
      </c>
      <c r="S111" s="6">
        <f t="shared" si="76"/>
        <v>1.192015499908965E-2</v>
      </c>
      <c r="T111" s="6">
        <f t="shared" si="77"/>
        <v>0.36900388434529358</v>
      </c>
      <c r="V111" s="6">
        <f t="shared" si="78"/>
        <v>20.305405472464958</v>
      </c>
      <c r="W111" s="6">
        <f t="shared" si="79"/>
        <v>84.581281334256801</v>
      </c>
      <c r="X111" s="6">
        <f t="shared" si="80"/>
        <v>1.622924010906877</v>
      </c>
      <c r="Y111" s="6">
        <f t="shared" si="81"/>
        <v>1.8286822971043208</v>
      </c>
      <c r="Z111" s="6">
        <f t="shared" si="82"/>
        <v>2.086027124840689</v>
      </c>
      <c r="AA111" s="6">
        <f t="shared" si="83"/>
        <v>64.575679760426382</v>
      </c>
      <c r="AC111" s="14">
        <f t="shared" si="84"/>
        <v>5.4100435790066667E-2</v>
      </c>
      <c r="AD111" s="17"/>
      <c r="AE111" s="15">
        <f t="shared" si="85"/>
        <v>5.2996501261778066E-2</v>
      </c>
    </row>
    <row r="112" spans="2:31" x14ac:dyDescent="0.2">
      <c r="B112" s="6">
        <f t="shared" si="61"/>
        <v>97</v>
      </c>
      <c r="C112" s="6">
        <f t="shared" si="62"/>
        <v>7.0351083045834075</v>
      </c>
      <c r="D112" s="6">
        <f t="shared" si="63"/>
        <v>221.1702768194468</v>
      </c>
      <c r="E112" s="6">
        <f t="shared" si="64"/>
        <v>0.36994286225687012</v>
      </c>
      <c r="F112" s="6">
        <f t="shared" si="65"/>
        <v>0.36705639949909347</v>
      </c>
      <c r="H112" s="6">
        <f t="shared" si="66"/>
        <v>529.0764313453509</v>
      </c>
      <c r="I112" s="6">
        <f t="shared" si="67"/>
        <v>2205.4212887675567</v>
      </c>
      <c r="J112" s="6">
        <f t="shared" si="68"/>
        <v>42.714793102991102</v>
      </c>
      <c r="K112" s="6">
        <f t="shared" si="69"/>
        <v>48.075890970182371</v>
      </c>
      <c r="L112" s="6">
        <f t="shared" si="70"/>
        <v>55.160040077654841</v>
      </c>
      <c r="M112" s="6">
        <f t="shared" si="71"/>
        <v>1684.9063640310915</v>
      </c>
      <c r="O112" s="6">
        <f t="shared" si="72"/>
        <v>0.1158894442079437</v>
      </c>
      <c r="P112" s="6">
        <f t="shared" si="73"/>
        <v>0.48307774124379343</v>
      </c>
      <c r="Q112" s="6">
        <f t="shared" si="74"/>
        <v>9.3562920948405317E-3</v>
      </c>
      <c r="R112" s="6">
        <f t="shared" si="75"/>
        <v>1.0530592470673457E-2</v>
      </c>
      <c r="S112" s="6">
        <f t="shared" si="76"/>
        <v>1.2082311757551494E-2</v>
      </c>
      <c r="T112" s="6">
        <f t="shared" si="77"/>
        <v>0.3690636182251974</v>
      </c>
      <c r="V112" s="6">
        <f t="shared" si="78"/>
        <v>20.280652736390149</v>
      </c>
      <c r="W112" s="6">
        <f t="shared" si="79"/>
        <v>84.538604717663844</v>
      </c>
      <c r="X112" s="6">
        <f t="shared" si="80"/>
        <v>1.6373511165970931</v>
      </c>
      <c r="Y112" s="6">
        <f t="shared" si="81"/>
        <v>1.842853682367855</v>
      </c>
      <c r="Z112" s="6">
        <f t="shared" si="82"/>
        <v>2.1144045575715116</v>
      </c>
      <c r="AA112" s="6">
        <f t="shared" si="83"/>
        <v>64.586133189409551</v>
      </c>
      <c r="AC112" s="14">
        <f t="shared" si="84"/>
        <v>5.2585240516603064E-2</v>
      </c>
      <c r="AD112" s="17"/>
      <c r="AE112" s="15">
        <f t="shared" si="85"/>
        <v>5.2174946512188652E-2</v>
      </c>
    </row>
    <row r="113" spans="2:31" x14ac:dyDescent="0.2">
      <c r="B113" s="6">
        <f t="shared" si="61"/>
        <v>98</v>
      </c>
      <c r="C113" s="6">
        <f t="shared" si="62"/>
        <v>7.2461615537209099</v>
      </c>
      <c r="D113" s="6">
        <f t="shared" si="63"/>
        <v>228.20538512403022</v>
      </c>
      <c r="E113" s="6">
        <f t="shared" si="64"/>
        <v>0.37036876284603371</v>
      </c>
      <c r="F113" s="6">
        <f t="shared" si="65"/>
        <v>0.37214572816572394</v>
      </c>
      <c r="H113" s="6">
        <f t="shared" si="66"/>
        <v>528.33943208359494</v>
      </c>
      <c r="I113" s="6">
        <f t="shared" si="67"/>
        <v>2203.9444037812868</v>
      </c>
      <c r="J113" s="6">
        <f t="shared" si="68"/>
        <v>43.084735965247972</v>
      </c>
      <c r="K113" s="6">
        <f t="shared" si="69"/>
        <v>48.442947369681463</v>
      </c>
      <c r="L113" s="6">
        <f t="shared" si="70"/>
        <v>55.897039339410803</v>
      </c>
      <c r="M113" s="6">
        <f t="shared" si="71"/>
        <v>1684.9063640310915</v>
      </c>
      <c r="O113" s="6">
        <f t="shared" si="72"/>
        <v>0.11574676967188492</v>
      </c>
      <c r="P113" s="6">
        <f t="shared" si="73"/>
        <v>0.48283249324792021</v>
      </c>
      <c r="Q113" s="6">
        <f t="shared" si="74"/>
        <v>9.4388544698940681E-3</v>
      </c>
      <c r="R113" s="6">
        <f t="shared" si="75"/>
        <v>1.0612712833704591E-2</v>
      </c>
      <c r="S113" s="6">
        <f t="shared" si="76"/>
        <v>1.224572943996236E-2</v>
      </c>
      <c r="T113" s="6">
        <f t="shared" si="77"/>
        <v>0.3691234403366338</v>
      </c>
      <c r="V113" s="6">
        <f t="shared" si="78"/>
        <v>20.255684692579862</v>
      </c>
      <c r="W113" s="6">
        <f t="shared" si="79"/>
        <v>84.495686318386035</v>
      </c>
      <c r="X113" s="6">
        <f t="shared" si="80"/>
        <v>1.6517995322314618</v>
      </c>
      <c r="Y113" s="6">
        <f t="shared" si="81"/>
        <v>1.8572247458983036</v>
      </c>
      <c r="Z113" s="6">
        <f t="shared" si="82"/>
        <v>2.1430026519934131</v>
      </c>
      <c r="AA113" s="6">
        <f t="shared" si="83"/>
        <v>64.596602058910918</v>
      </c>
      <c r="AC113" s="14">
        <f t="shared" si="84"/>
        <v>5.1112407596798477E-2</v>
      </c>
      <c r="AD113" s="17"/>
      <c r="AE113" s="15">
        <f t="shared" si="85"/>
        <v>5.1357636095572118E-2</v>
      </c>
    </row>
    <row r="114" spans="2:31" x14ac:dyDescent="0.2">
      <c r="B114" s="6">
        <f t="shared" si="61"/>
        <v>99</v>
      </c>
      <c r="C114" s="6">
        <f t="shared" si="62"/>
        <v>7.4635464003325369</v>
      </c>
      <c r="D114" s="6">
        <f t="shared" si="63"/>
        <v>235.45154667775114</v>
      </c>
      <c r="E114" s="6">
        <f t="shared" si="64"/>
        <v>0.37079486140353213</v>
      </c>
      <c r="F114" s="6">
        <f t="shared" si="65"/>
        <v>0.37724130929313499</v>
      </c>
      <c r="H114" s="6">
        <f t="shared" si="66"/>
        <v>527.59691759258317</v>
      </c>
      <c r="I114" s="6">
        <f t="shared" si="67"/>
        <v>2202.4611517645831</v>
      </c>
      <c r="J114" s="6">
        <f t="shared" si="68"/>
        <v>43.455104728094007</v>
      </c>
      <c r="K114" s="6">
        <f t="shared" si="69"/>
        <v>48.815093097847189</v>
      </c>
      <c r="L114" s="6">
        <f t="shared" si="70"/>
        <v>56.639553830422564</v>
      </c>
      <c r="M114" s="6">
        <f t="shared" si="71"/>
        <v>1684.9063640310915</v>
      </c>
      <c r="O114" s="6">
        <f t="shared" si="72"/>
        <v>0.11560286199857736</v>
      </c>
      <c r="P114" s="6">
        <f t="shared" si="73"/>
        <v>0.48258586071058596</v>
      </c>
      <c r="Q114" s="6">
        <f t="shared" si="74"/>
        <v>9.5215387116700575E-3</v>
      </c>
      <c r="R114" s="6">
        <f t="shared" si="75"/>
        <v>1.0695976952609598E-2</v>
      </c>
      <c r="S114" s="6">
        <f t="shared" si="76"/>
        <v>1.2410410877676021E-2</v>
      </c>
      <c r="T114" s="6">
        <f t="shared" si="77"/>
        <v>0.36918335074888087</v>
      </c>
      <c r="V114" s="6">
        <f t="shared" si="78"/>
        <v>20.230500849751039</v>
      </c>
      <c r="W114" s="6">
        <f t="shared" si="79"/>
        <v>84.452525624352546</v>
      </c>
      <c r="X114" s="6">
        <f t="shared" si="80"/>
        <v>1.66626927454226</v>
      </c>
      <c r="Y114" s="6">
        <f t="shared" si="81"/>
        <v>1.8717959667066797</v>
      </c>
      <c r="Z114" s="6">
        <f t="shared" si="82"/>
        <v>2.1718219035933037</v>
      </c>
      <c r="AA114" s="6">
        <f t="shared" si="83"/>
        <v>64.607086381054145</v>
      </c>
      <c r="AC114" s="14">
        <f t="shared" si="84"/>
        <v>4.9680787324777861E-2</v>
      </c>
      <c r="AD114" s="17"/>
      <c r="AE114" s="15">
        <f t="shared" si="85"/>
        <v>5.0544511825682099E-2</v>
      </c>
    </row>
    <row r="115" spans="2:31" x14ac:dyDescent="0.2">
      <c r="B115" s="6">
        <f t="shared" si="61"/>
        <v>100</v>
      </c>
      <c r="C115" s="6">
        <f t="shared" si="62"/>
        <v>7.6874527923425129</v>
      </c>
      <c r="D115" s="6">
        <f t="shared" si="63"/>
        <v>242.91509307808369</v>
      </c>
      <c r="E115" s="6">
        <f t="shared" si="64"/>
        <v>0.37122143575043143</v>
      </c>
      <c r="F115" s="6">
        <f t="shared" si="65"/>
        <v>0.38233945381416795</v>
      </c>
      <c r="H115" s="6">
        <f t="shared" si="66"/>
        <v>526.84888142188652</v>
      </c>
      <c r="I115" s="6">
        <f t="shared" si="67"/>
        <v>2200.9715258710794</v>
      </c>
      <c r="J115" s="6">
        <f t="shared" si="68"/>
        <v>43.825899589497538</v>
      </c>
      <c r="K115" s="6">
        <f t="shared" si="69"/>
        <v>49.192334407140322</v>
      </c>
      <c r="L115" s="6">
        <f t="shared" si="70"/>
        <v>57.387590001119229</v>
      </c>
      <c r="M115" s="6">
        <f t="shared" si="71"/>
        <v>1684.9063640310915</v>
      </c>
      <c r="O115" s="6">
        <f t="shared" si="72"/>
        <v>0.1154577191033237</v>
      </c>
      <c r="P115" s="6">
        <f t="shared" si="73"/>
        <v>0.48233784136089869</v>
      </c>
      <c r="Q115" s="6">
        <f t="shared" si="74"/>
        <v>9.6043449700384427E-3</v>
      </c>
      <c r="R115" s="6">
        <f t="shared" si="75"/>
        <v>1.0780386802165899E-2</v>
      </c>
      <c r="S115" s="6">
        <f t="shared" si="76"/>
        <v>1.2576358193043473E-2</v>
      </c>
      <c r="T115" s="6">
        <f t="shared" si="77"/>
        <v>0.36924334957052973</v>
      </c>
      <c r="V115" s="6">
        <f t="shared" si="78"/>
        <v>20.205100843081645</v>
      </c>
      <c r="W115" s="6">
        <f t="shared" si="79"/>
        <v>84.409122238157266</v>
      </c>
      <c r="X115" s="6">
        <f t="shared" si="80"/>
        <v>1.6807603697567275</v>
      </c>
      <c r="Y115" s="6">
        <f t="shared" si="81"/>
        <v>1.8865676903790323</v>
      </c>
      <c r="Z115" s="6">
        <f t="shared" si="82"/>
        <v>2.2008626837826077</v>
      </c>
      <c r="AA115" s="6">
        <f t="shared" si="83"/>
        <v>64.6175861748427</v>
      </c>
      <c r="AC115" s="14">
        <f t="shared" si="84"/>
        <v>4.8289263788417129E-2</v>
      </c>
      <c r="AD115" s="17"/>
      <c r="AE115" s="15">
        <f t="shared" si="85"/>
        <v>4.9735518921822458E-2</v>
      </c>
    </row>
    <row r="116" spans="2:31" x14ac:dyDescent="0.2">
      <c r="B116" s="6">
        <f t="shared" si="61"/>
        <v>101</v>
      </c>
      <c r="C116" s="6">
        <f t="shared" si="62"/>
        <v>7.9180763761127881</v>
      </c>
      <c r="D116" s="6">
        <f t="shared" si="63"/>
        <v>250.60254587042621</v>
      </c>
      <c r="E116" s="6">
        <f t="shared" si="64"/>
        <v>0.37164880022745161</v>
      </c>
      <c r="F116" s="6">
        <f t="shared" si="65"/>
        <v>0.38743627567657052</v>
      </c>
      <c r="H116" s="6">
        <f t="shared" si="66"/>
        <v>526.09532053232192</v>
      </c>
      <c r="I116" s="6">
        <f t="shared" si="67"/>
        <v>2199.475522110014</v>
      </c>
      <c r="J116" s="6">
        <f t="shared" si="68"/>
        <v>44.197121025247966</v>
      </c>
      <c r="K116" s="6">
        <f t="shared" si="69"/>
        <v>49.574673860954491</v>
      </c>
      <c r="L116" s="6">
        <f t="shared" si="70"/>
        <v>58.141150890683825</v>
      </c>
      <c r="M116" s="6">
        <f t="shared" si="71"/>
        <v>1684.9063640310915</v>
      </c>
      <c r="O116" s="6">
        <f t="shared" si="72"/>
        <v>0.11531133966036922</v>
      </c>
      <c r="P116" s="6">
        <f t="shared" si="73"/>
        <v>0.48208843360946363</v>
      </c>
      <c r="Q116" s="6">
        <f t="shared" si="74"/>
        <v>9.6872734572055613E-3</v>
      </c>
      <c r="R116" s="6">
        <f t="shared" si="75"/>
        <v>1.0865943552488494E-2</v>
      </c>
      <c r="S116" s="6">
        <f t="shared" si="76"/>
        <v>1.2743572765134535E-2</v>
      </c>
      <c r="T116" s="6">
        <f t="shared" si="77"/>
        <v>0.3693034369553384</v>
      </c>
      <c r="V116" s="6">
        <f t="shared" si="78"/>
        <v>20.179484440564615</v>
      </c>
      <c r="W116" s="6">
        <f t="shared" si="79"/>
        <v>84.365475881656138</v>
      </c>
      <c r="X116" s="6">
        <f t="shared" si="80"/>
        <v>1.6952728550109732</v>
      </c>
      <c r="Y116" s="6">
        <f t="shared" si="81"/>
        <v>1.9015401216854864</v>
      </c>
      <c r="Z116" s="6">
        <f t="shared" si="82"/>
        <v>2.2301252338985438</v>
      </c>
      <c r="AA116" s="6">
        <f t="shared" si="83"/>
        <v>64.628101467184223</v>
      </c>
      <c r="AC116" s="14">
        <f t="shared" si="84"/>
        <v>4.6936753647469201E-2</v>
      </c>
      <c r="AD116" s="17"/>
      <c r="AE116" s="15">
        <f t="shared" si="85"/>
        <v>4.8930606030195195E-2</v>
      </c>
    </row>
    <row r="117" spans="2:31" x14ac:dyDescent="0.2">
      <c r="B117" s="6">
        <f t="shared" si="61"/>
        <v>102</v>
      </c>
      <c r="C117" s="6">
        <f t="shared" si="62"/>
        <v>8.1556186673961726</v>
      </c>
      <c r="D117" s="6">
        <f t="shared" si="63"/>
        <v>258.52062224653901</v>
      </c>
      <c r="E117" s="6">
        <f t="shared" si="64"/>
        <v>0.37207730647977311</v>
      </c>
      <c r="F117" s="6">
        <f t="shared" si="65"/>
        <v>0.39252768570986624</v>
      </c>
      <c r="H117" s="6">
        <f t="shared" si="66"/>
        <v>525.33623545641785</v>
      </c>
      <c r="I117" s="6">
        <f t="shared" si="67"/>
        <v>2197.9731394336554</v>
      </c>
      <c r="J117" s="6">
        <f t="shared" si="68"/>
        <v>44.568769825475421</v>
      </c>
      <c r="K117" s="6">
        <f t="shared" si="69"/>
        <v>49.962110136631061</v>
      </c>
      <c r="L117" s="6">
        <f t="shared" si="70"/>
        <v>58.90023596658785</v>
      </c>
      <c r="M117" s="6">
        <f t="shared" si="71"/>
        <v>1684.9063640310915</v>
      </c>
      <c r="O117" s="6">
        <f t="shared" si="72"/>
        <v>0.11516372314044651</v>
      </c>
      <c r="P117" s="6">
        <f t="shared" si="73"/>
        <v>0.48183763657566137</v>
      </c>
      <c r="Q117" s="6">
        <f t="shared" si="74"/>
        <v>9.7703244559781566E-3</v>
      </c>
      <c r="R117" s="6">
        <f t="shared" si="75"/>
        <v>1.0952647525424344E-2</v>
      </c>
      <c r="S117" s="6">
        <f t="shared" si="76"/>
        <v>1.291205519426963E-2</v>
      </c>
      <c r="T117" s="6">
        <f t="shared" si="77"/>
        <v>0.36936361310821986</v>
      </c>
      <c r="V117" s="6">
        <f t="shared" si="78"/>
        <v>20.153651549578139</v>
      </c>
      <c r="W117" s="6">
        <f t="shared" si="79"/>
        <v>84.321586400740742</v>
      </c>
      <c r="X117" s="6">
        <f t="shared" si="80"/>
        <v>1.7098067797961773</v>
      </c>
      <c r="Y117" s="6">
        <f t="shared" si="81"/>
        <v>1.9167133169492603</v>
      </c>
      <c r="Z117" s="6">
        <f t="shared" si="82"/>
        <v>2.2596096589971855</v>
      </c>
      <c r="AA117" s="6">
        <f t="shared" si="83"/>
        <v>64.638632293938471</v>
      </c>
      <c r="AC117" s="14">
        <f t="shared" si="84"/>
        <v>4.5622204967384214E-2</v>
      </c>
      <c r="AD117" s="17"/>
      <c r="AE117" s="15">
        <f t="shared" si="85"/>
        <v>4.8129725250529366E-2</v>
      </c>
    </row>
    <row r="118" spans="2:31" x14ac:dyDescent="0.2">
      <c r="B118" s="6">
        <f t="shared" si="61"/>
        <v>103</v>
      </c>
      <c r="C118" s="6">
        <f t="shared" si="62"/>
        <v>8.4002872274180582</v>
      </c>
      <c r="D118" s="6">
        <f t="shared" si="63"/>
        <v>266.6762409139352</v>
      </c>
      <c r="E118" s="6">
        <f t="shared" si="64"/>
        <v>0.37250734427270887</v>
      </c>
      <c r="F118" s="6">
        <f t="shared" si="65"/>
        <v>0.39760938549713742</v>
      </c>
      <c r="H118" s="6">
        <f t="shared" si="66"/>
        <v>524.57163046422818</v>
      </c>
      <c r="I118" s="6">
        <f t="shared" si="67"/>
        <v>2196.464379828506</v>
      </c>
      <c r="J118" s="6">
        <f t="shared" si="68"/>
        <v>44.940847131955195</v>
      </c>
      <c r="K118" s="6">
        <f t="shared" si="69"/>
        <v>50.354637822340926</v>
      </c>
      <c r="L118" s="6">
        <f t="shared" si="70"/>
        <v>59.664840958777489</v>
      </c>
      <c r="M118" s="6">
        <f t="shared" si="71"/>
        <v>1684.9063640310915</v>
      </c>
      <c r="O118" s="6">
        <f t="shared" si="72"/>
        <v>0.11501486984955439</v>
      </c>
      <c r="P118" s="6">
        <f t="shared" si="73"/>
        <v>0.48158545011592085</v>
      </c>
      <c r="Q118" s="6">
        <f t="shared" si="74"/>
        <v>9.8534983282193029E-3</v>
      </c>
      <c r="R118" s="6">
        <f t="shared" si="75"/>
        <v>1.1040498149571452E-2</v>
      </c>
      <c r="S118" s="6">
        <f t="shared" si="76"/>
        <v>1.3081805265365213E-2</v>
      </c>
      <c r="T118" s="6">
        <f t="shared" si="77"/>
        <v>0.36942387829136875</v>
      </c>
      <c r="V118" s="6">
        <f t="shared" si="78"/>
        <v>20.127602223672017</v>
      </c>
      <c r="W118" s="6">
        <f t="shared" si="79"/>
        <v>84.277453770286144</v>
      </c>
      <c r="X118" s="6">
        <f t="shared" si="80"/>
        <v>1.724362207438378</v>
      </c>
      <c r="Y118" s="6">
        <f t="shared" si="81"/>
        <v>1.932087176175004</v>
      </c>
      <c r="Z118" s="6">
        <f t="shared" si="82"/>
        <v>2.289315921438912</v>
      </c>
      <c r="AA118" s="6">
        <f t="shared" si="83"/>
        <v>64.649178700989538</v>
      </c>
      <c r="AC118" s="14">
        <f t="shared" si="84"/>
        <v>4.4344596105817209E-2</v>
      </c>
      <c r="AD118" s="17"/>
      <c r="AE118" s="15">
        <f t="shared" si="85"/>
        <v>4.733283216785291E-2</v>
      </c>
    </row>
    <row r="119" spans="2:31" x14ac:dyDescent="0.2">
      <c r="B119" s="6">
        <f t="shared" si="61"/>
        <v>104</v>
      </c>
      <c r="C119" s="6">
        <f t="shared" si="62"/>
        <v>8.6522958442405997</v>
      </c>
      <c r="D119" s="6">
        <f t="shared" si="63"/>
        <v>275.07652814135326</v>
      </c>
      <c r="E119" s="6">
        <f t="shared" si="64"/>
        <v>0.37293934233814047</v>
      </c>
      <c r="F119" s="6">
        <f t="shared" si="65"/>
        <v>0.40267686127115448</v>
      </c>
      <c r="H119" s="6">
        <f t="shared" si="66"/>
        <v>523.80151373445835</v>
      </c>
      <c r="I119" s="6">
        <f t="shared" si="67"/>
        <v>2194.9492484101906</v>
      </c>
      <c r="J119" s="6">
        <f t="shared" si="68"/>
        <v>45.313354476227907</v>
      </c>
      <c r="K119" s="6">
        <f t="shared" si="69"/>
        <v>50.752247207838067</v>
      </c>
      <c r="L119" s="6">
        <f t="shared" si="70"/>
        <v>60.434957688547343</v>
      </c>
      <c r="M119" s="6">
        <f t="shared" si="71"/>
        <v>1684.9063640310915</v>
      </c>
      <c r="O119" s="6">
        <f t="shared" si="72"/>
        <v>0.11486478096896595</v>
      </c>
      <c r="P119" s="6">
        <f t="shared" si="73"/>
        <v>0.48133187485297463</v>
      </c>
      <c r="Q119" s="6">
        <f t="shared" si="74"/>
        <v>9.9367955235037074E-3</v>
      </c>
      <c r="R119" s="6">
        <f t="shared" si="75"/>
        <v>1.1129493913922666E-2</v>
      </c>
      <c r="S119" s="6">
        <f t="shared" si="76"/>
        <v>1.3252821910100267E-2</v>
      </c>
      <c r="T119" s="6">
        <f t="shared" si="77"/>
        <v>0.36948423283053278</v>
      </c>
      <c r="V119" s="6">
        <f t="shared" si="78"/>
        <v>20.10133666956904</v>
      </c>
      <c r="W119" s="6">
        <f t="shared" si="79"/>
        <v>84.233078099270557</v>
      </c>
      <c r="X119" s="6">
        <f t="shared" si="80"/>
        <v>1.7389392166131488</v>
      </c>
      <c r="Y119" s="6">
        <f t="shared" si="81"/>
        <v>1.9476614349364665</v>
      </c>
      <c r="Z119" s="6">
        <f t="shared" si="82"/>
        <v>2.3192438342675468</v>
      </c>
      <c r="AA119" s="6">
        <f t="shared" si="83"/>
        <v>64.659740745343242</v>
      </c>
      <c r="AC119" s="14">
        <f t="shared" si="84"/>
        <v>4.3102934649002729E-2</v>
      </c>
      <c r="AD119" s="17"/>
      <c r="AE119" s="15">
        <f t="shared" si="85"/>
        <v>4.6539885889269071E-2</v>
      </c>
    </row>
    <row r="120" spans="2:31" x14ac:dyDescent="0.2">
      <c r="B120" s="6">
        <f t="shared" si="61"/>
        <v>105</v>
      </c>
      <c r="C120" s="6">
        <f t="shared" si="62"/>
        <v>8.9118647195678182</v>
      </c>
      <c r="D120" s="6">
        <f t="shared" si="63"/>
        <v>283.72882398559386</v>
      </c>
      <c r="E120" s="6">
        <f t="shared" si="64"/>
        <v>0.37337376925168231</v>
      </c>
      <c r="F120" s="6">
        <f t="shared" si="65"/>
        <v>0.40772537785620533</v>
      </c>
      <c r="H120" s="6">
        <f t="shared" si="66"/>
        <v>523.02589753084908</v>
      </c>
      <c r="I120" s="6">
        <f t="shared" si="67"/>
        <v>2193.4277535219048</v>
      </c>
      <c r="J120" s="6">
        <f t="shared" si="68"/>
        <v>45.68629381856605</v>
      </c>
      <c r="K120" s="6">
        <f t="shared" si="69"/>
        <v>51.154924069109221</v>
      </c>
      <c r="L120" s="6">
        <f t="shared" si="70"/>
        <v>61.210573892156638</v>
      </c>
      <c r="M120" s="6">
        <f t="shared" si="71"/>
        <v>1684.9063640310915</v>
      </c>
      <c r="O120" s="6">
        <f t="shared" si="72"/>
        <v>0.11471345859645597</v>
      </c>
      <c r="P120" s="6">
        <f t="shared" si="73"/>
        <v>0.48107691220607618</v>
      </c>
      <c r="Q120" s="6">
        <f t="shared" si="74"/>
        <v>1.0020216587979728E-2</v>
      </c>
      <c r="R120" s="6">
        <f t="shared" si="75"/>
        <v>1.1219632320138593E-2</v>
      </c>
      <c r="S120" s="6">
        <f t="shared" si="76"/>
        <v>1.3425103167915443E-2</v>
      </c>
      <c r="T120" s="6">
        <f t="shared" si="77"/>
        <v>0.36954467712143391</v>
      </c>
      <c r="V120" s="6">
        <f t="shared" si="78"/>
        <v>20.074855254379795</v>
      </c>
      <c r="W120" s="6">
        <f t="shared" si="79"/>
        <v>84.188459636063328</v>
      </c>
      <c r="X120" s="6">
        <f t="shared" si="80"/>
        <v>1.7535379028964524</v>
      </c>
      <c r="Y120" s="6">
        <f t="shared" si="81"/>
        <v>1.9634356560242539</v>
      </c>
      <c r="Z120" s="6">
        <f t="shared" si="82"/>
        <v>2.3493930543852026</v>
      </c>
      <c r="AA120" s="6">
        <f t="shared" si="83"/>
        <v>64.670318496250928</v>
      </c>
      <c r="AC120" s="14">
        <f t="shared" si="84"/>
        <v>4.1896256395349447E-2</v>
      </c>
      <c r="AD120" s="17"/>
      <c r="AE120" s="15">
        <f t="shared" si="85"/>
        <v>4.5750849085597206E-2</v>
      </c>
    </row>
    <row r="121" spans="2:31" x14ac:dyDescent="0.2">
      <c r="B121" s="6">
        <f t="shared" si="61"/>
        <v>106</v>
      </c>
      <c r="C121" s="6">
        <f t="shared" si="62"/>
        <v>9.1792206611548526</v>
      </c>
      <c r="D121" s="6">
        <f t="shared" si="63"/>
        <v>292.64068870516166</v>
      </c>
      <c r="E121" s="6">
        <f t="shared" si="64"/>
        <v>0.37381113434060231</v>
      </c>
      <c r="F121" s="6">
        <f t="shared" si="65"/>
        <v>0.41274997267901059</v>
      </c>
      <c r="H121" s="6">
        <f t="shared" si="66"/>
        <v>522.24479838374123</v>
      </c>
      <c r="I121" s="6">
        <f t="shared" si="67"/>
        <v>2191.8999068362932</v>
      </c>
      <c r="J121" s="6">
        <f t="shared" si="68"/>
        <v>46.059667587817735</v>
      </c>
      <c r="K121" s="6">
        <f t="shared" si="69"/>
        <v>51.562649446965423</v>
      </c>
      <c r="L121" s="6">
        <f t="shared" si="70"/>
        <v>61.991673039264526</v>
      </c>
      <c r="M121" s="6">
        <f t="shared" si="71"/>
        <v>1684.9063640310915</v>
      </c>
      <c r="O121" s="6">
        <f t="shared" si="72"/>
        <v>0.11456090578873322</v>
      </c>
      <c r="P121" s="6">
        <f t="shared" si="73"/>
        <v>0.48082056442215637</v>
      </c>
      <c r="Q121" s="6">
        <f t="shared" si="74"/>
        <v>1.0103762173445578E-2</v>
      </c>
      <c r="R121" s="6">
        <f t="shared" si="75"/>
        <v>1.1310909833458638E-2</v>
      </c>
      <c r="S121" s="6">
        <f t="shared" si="76"/>
        <v>1.3598646145861228E-2</v>
      </c>
      <c r="T121" s="6">
        <f t="shared" si="77"/>
        <v>0.3696052116363448</v>
      </c>
      <c r="V121" s="6">
        <f t="shared" si="78"/>
        <v>20.048158513028312</v>
      </c>
      <c r="W121" s="6">
        <f t="shared" si="79"/>
        <v>84.143598773877372</v>
      </c>
      <c r="X121" s="6">
        <f t="shared" si="80"/>
        <v>1.7681583803529761</v>
      </c>
      <c r="Y121" s="6">
        <f t="shared" si="81"/>
        <v>1.9794092208552616</v>
      </c>
      <c r="Z121" s="6">
        <f t="shared" si="82"/>
        <v>2.3797630755257151</v>
      </c>
      <c r="AA121" s="6">
        <f t="shared" si="83"/>
        <v>64.68091203636034</v>
      </c>
      <c r="AC121" s="14">
        <f t="shared" si="84"/>
        <v>4.0723624383769037E-2</v>
      </c>
      <c r="AD121" s="17"/>
      <c r="AE121" s="15">
        <f t="shared" si="85"/>
        <v>4.4965688037733896E-2</v>
      </c>
    </row>
    <row r="122" spans="2:31" x14ac:dyDescent="0.2">
      <c r="B122" s="6">
        <f t="shared" si="61"/>
        <v>107</v>
      </c>
      <c r="C122" s="6">
        <f t="shared" si="62"/>
        <v>9.454597280989498</v>
      </c>
      <c r="D122" s="6">
        <f t="shared" si="63"/>
        <v>301.81990936631649</v>
      </c>
      <c r="E122" s="6">
        <f t="shared" si="64"/>
        <v>0.37425198862258918</v>
      </c>
      <c r="F122" s="6">
        <f t="shared" si="65"/>
        <v>0.4177454498742767</v>
      </c>
      <c r="H122" s="6">
        <f t="shared" si="66"/>
        <v>521.45823727672166</v>
      </c>
      <c r="I122" s="6">
        <f t="shared" si="67"/>
        <v>2190.3657234605921</v>
      </c>
      <c r="J122" s="6">
        <f t="shared" si="68"/>
        <v>46.433478722158334</v>
      </c>
      <c r="K122" s="6">
        <f t="shared" si="69"/>
        <v>51.975399419644432</v>
      </c>
      <c r="L122" s="6">
        <f t="shared" si="70"/>
        <v>62.778234146284134</v>
      </c>
      <c r="M122" s="6">
        <f t="shared" si="71"/>
        <v>1684.9063640310915</v>
      </c>
      <c r="O122" s="6">
        <f t="shared" si="72"/>
        <v>0.11440712660505757</v>
      </c>
      <c r="P122" s="6">
        <f t="shared" si="73"/>
        <v>0.4805628346078889</v>
      </c>
      <c r="Q122" s="6">
        <f t="shared" si="74"/>
        <v>1.0187433046647093E-2</v>
      </c>
      <c r="R122" s="6">
        <f t="shared" si="75"/>
        <v>1.1403321832264298E-2</v>
      </c>
      <c r="S122" s="6">
        <f t="shared" si="76"/>
        <v>1.3773446977316549E-2</v>
      </c>
      <c r="T122" s="6">
        <f t="shared" si="77"/>
        <v>0.3696658369308255</v>
      </c>
      <c r="V122" s="6">
        <f t="shared" si="78"/>
        <v>20.021247155885074</v>
      </c>
      <c r="W122" s="6">
        <f t="shared" si="79"/>
        <v>84.098496056380554</v>
      </c>
      <c r="X122" s="6">
        <f t="shared" si="80"/>
        <v>1.7828007831632413</v>
      </c>
      <c r="Y122" s="6">
        <f t="shared" si="81"/>
        <v>1.9955813206462523</v>
      </c>
      <c r="Z122" s="6">
        <f t="shared" si="82"/>
        <v>2.410353221030396</v>
      </c>
      <c r="AA122" s="6">
        <f t="shared" si="83"/>
        <v>64.691521462894457</v>
      </c>
      <c r="AC122" s="14">
        <f t="shared" si="84"/>
        <v>3.958412796440345E-2</v>
      </c>
      <c r="AD122" s="17"/>
      <c r="AE122" s="15">
        <f t="shared" si="85"/>
        <v>4.4184372687585946E-2</v>
      </c>
    </row>
    <row r="123" spans="2:31" x14ac:dyDescent="0.2">
      <c r="B123" s="6">
        <f t="shared" si="61"/>
        <v>108</v>
      </c>
      <c r="C123" s="6">
        <f t="shared" si="62"/>
        <v>9.7382351994191829</v>
      </c>
      <c r="D123" s="6">
        <f t="shared" si="63"/>
        <v>311.274506647306</v>
      </c>
      <c r="E123" s="6">
        <f t="shared" si="64"/>
        <v>0.37469692577552494</v>
      </c>
      <c r="F123" s="6">
        <f t="shared" si="65"/>
        <v>0.4227063745127132</v>
      </c>
      <c r="H123" s="6">
        <f t="shared" si="66"/>
        <v>520.66623983822478</v>
      </c>
      <c r="I123" s="6">
        <f t="shared" si="67"/>
        <v>2188.8252220448499</v>
      </c>
      <c r="J123" s="6">
        <f t="shared" si="68"/>
        <v>46.807730710780923</v>
      </c>
      <c r="K123" s="6">
        <f t="shared" si="69"/>
        <v>52.393144869518707</v>
      </c>
      <c r="L123" s="6">
        <f t="shared" si="70"/>
        <v>63.570231584780998</v>
      </c>
      <c r="M123" s="6">
        <f t="shared" si="71"/>
        <v>1684.9063640310915</v>
      </c>
      <c r="O123" s="6">
        <f t="shared" si="72"/>
        <v>0.11425212615201742</v>
      </c>
      <c r="P123" s="6">
        <f t="shared" si="73"/>
        <v>0.480303726762632</v>
      </c>
      <c r="Q123" s="6">
        <f t="shared" si="74"/>
        <v>1.0271230098804625E-2</v>
      </c>
      <c r="R123" s="6">
        <f t="shared" si="75"/>
        <v>1.1496862556314547E-2</v>
      </c>
      <c r="S123" s="6">
        <f t="shared" si="76"/>
        <v>1.3949500779605079E-2</v>
      </c>
      <c r="T123" s="6">
        <f t="shared" si="77"/>
        <v>0.36972655365062629</v>
      </c>
      <c r="V123" s="6">
        <f t="shared" si="78"/>
        <v>19.994122076603048</v>
      </c>
      <c r="W123" s="6">
        <f t="shared" si="79"/>
        <v>84.053152183460597</v>
      </c>
      <c r="X123" s="6">
        <f t="shared" si="80"/>
        <v>1.7974652672908094</v>
      </c>
      <c r="Y123" s="6">
        <f t="shared" si="81"/>
        <v>2.0119509473550456</v>
      </c>
      <c r="Z123" s="6">
        <f t="shared" si="82"/>
        <v>2.4411626364308887</v>
      </c>
      <c r="AA123" s="6">
        <f t="shared" si="83"/>
        <v>64.702146888859602</v>
      </c>
      <c r="AC123" s="14">
        <f t="shared" si="84"/>
        <v>3.847688190955513E-2</v>
      </c>
      <c r="AD123" s="17"/>
      <c r="AE123" s="15">
        <f t="shared" si="85"/>
        <v>4.3406876693420249E-2</v>
      </c>
    </row>
    <row r="124" spans="2:31" x14ac:dyDescent="0.2">
      <c r="B124" s="6">
        <f t="shared" si="61"/>
        <v>109</v>
      </c>
      <c r="C124" s="6">
        <f t="shared" si="62"/>
        <v>10.030382255401758</v>
      </c>
      <c r="D124" s="6">
        <f t="shared" si="63"/>
        <v>321.01274184672519</v>
      </c>
      <c r="E124" s="6">
        <f t="shared" si="64"/>
        <v>0.37514658313847377</v>
      </c>
      <c r="F124" s="6">
        <f t="shared" si="65"/>
        <v>0.42762706698174785</v>
      </c>
      <c r="H124" s="6">
        <f t="shared" si="66"/>
        <v>519.86883653793655</v>
      </c>
      <c r="I124" s="6">
        <f t="shared" si="67"/>
        <v>2187.2784248930102</v>
      </c>
      <c r="J124" s="6">
        <f t="shared" si="68"/>
        <v>47.182427636556447</v>
      </c>
      <c r="K124" s="6">
        <f t="shared" si="69"/>
        <v>52.815851244031421</v>
      </c>
      <c r="L124" s="6">
        <f t="shared" si="70"/>
        <v>64.367634885069236</v>
      </c>
      <c r="M124" s="6">
        <f t="shared" si="71"/>
        <v>1684.9063640310915</v>
      </c>
      <c r="O124" s="6">
        <f t="shared" si="72"/>
        <v>0.11409591062943544</v>
      </c>
      <c r="P124" s="6">
        <f t="shared" si="73"/>
        <v>0.48004324581220409</v>
      </c>
      <c r="Q124" s="6">
        <f t="shared" si="74"/>
        <v>1.0355154355376543E-2</v>
      </c>
      <c r="R124" s="6">
        <f t="shared" si="75"/>
        <v>1.1591525053679235E-2</v>
      </c>
      <c r="S124" s="6">
        <f t="shared" si="76"/>
        <v>1.4126801610542526E-2</v>
      </c>
      <c r="T124" s="6">
        <f t="shared" si="77"/>
        <v>0.36978736253876221</v>
      </c>
      <c r="V124" s="6">
        <f t="shared" si="78"/>
        <v>19.966784360151202</v>
      </c>
      <c r="W124" s="6">
        <f t="shared" si="79"/>
        <v>84.007568017135711</v>
      </c>
      <c r="X124" s="6">
        <f t="shared" si="80"/>
        <v>1.8121520121908949</v>
      </c>
      <c r="Y124" s="6">
        <f t="shared" si="81"/>
        <v>2.0285168843938659</v>
      </c>
      <c r="Z124" s="6">
        <f t="shared" si="82"/>
        <v>2.4721902818449419</v>
      </c>
      <c r="AA124" s="6">
        <f t="shared" si="83"/>
        <v>64.71278844428339</v>
      </c>
      <c r="AC124" s="14">
        <f t="shared" si="84"/>
        <v>3.7401025562753848E-2</v>
      </c>
      <c r="AD124" s="17"/>
      <c r="AE124" s="15">
        <f t="shared" si="85"/>
        <v>4.263317748946744E-2</v>
      </c>
    </row>
    <row r="125" spans="2:31" x14ac:dyDescent="0.2">
      <c r="B125" s="6">
        <f t="shared" si="61"/>
        <v>110</v>
      </c>
      <c r="C125" s="6">
        <f t="shared" si="62"/>
        <v>10.33129372306381</v>
      </c>
      <c r="D125" s="6">
        <f t="shared" si="63"/>
        <v>331.04312410212697</v>
      </c>
      <c r="E125" s="6">
        <f t="shared" si="64"/>
        <v>0.37560164274417107</v>
      </c>
      <c r="F125" s="6">
        <f t="shared" si="65"/>
        <v>0.43250159755170631</v>
      </c>
      <c r="H125" s="6">
        <f t="shared" si="66"/>
        <v>519.06606288781632</v>
      </c>
      <c r="I125" s="6">
        <f t="shared" si="67"/>
        <v>2185.7253580766132</v>
      </c>
      <c r="J125" s="6">
        <f t="shared" si="68"/>
        <v>47.557574219694921</v>
      </c>
      <c r="K125" s="6">
        <f t="shared" si="69"/>
        <v>53.24347831101317</v>
      </c>
      <c r="L125" s="6">
        <f t="shared" si="70"/>
        <v>65.170408535189452</v>
      </c>
      <c r="M125" s="6">
        <f t="shared" si="71"/>
        <v>1684.9063640310915</v>
      </c>
      <c r="O125" s="6">
        <f t="shared" si="72"/>
        <v>0.11393848737736446</v>
      </c>
      <c r="P125" s="6">
        <f t="shared" si="73"/>
        <v>0.47978139764344652</v>
      </c>
      <c r="Q125" s="6">
        <f t="shared" si="74"/>
        <v>1.0439206986066997E-2</v>
      </c>
      <c r="R125" s="6">
        <f t="shared" si="75"/>
        <v>1.1687301126403012E-2</v>
      </c>
      <c r="S125" s="6">
        <f t="shared" si="76"/>
        <v>1.4305342423954991E-2</v>
      </c>
      <c r="T125" s="6">
        <f t="shared" si="77"/>
        <v>0.3698482644427642</v>
      </c>
      <c r="V125" s="6">
        <f t="shared" si="78"/>
        <v>19.939235291038781</v>
      </c>
      <c r="W125" s="6">
        <f t="shared" si="79"/>
        <v>83.961744587603135</v>
      </c>
      <c r="X125" s="6">
        <f t="shared" si="80"/>
        <v>1.8268612225617245</v>
      </c>
      <c r="Y125" s="6">
        <f t="shared" si="81"/>
        <v>2.0452776971205271</v>
      </c>
      <c r="Z125" s="6">
        <f t="shared" si="82"/>
        <v>2.5034349241921237</v>
      </c>
      <c r="AA125" s="6">
        <f t="shared" si="83"/>
        <v>64.723446277483731</v>
      </c>
      <c r="AC125" s="14">
        <f t="shared" si="84"/>
        <v>3.6355722024016178E-2</v>
      </c>
      <c r="AD125" s="17"/>
      <c r="AE125" s="15">
        <f t="shared" si="85"/>
        <v>4.1863256349607032E-2</v>
      </c>
    </row>
    <row r="126" spans="2:31" x14ac:dyDescent="0.2">
      <c r="B126" s="6">
        <f t="shared" si="61"/>
        <v>111</v>
      </c>
      <c r="C126" s="6">
        <f t="shared" si="62"/>
        <v>10.641232534755725</v>
      </c>
      <c r="D126" s="6">
        <f t="shared" si="63"/>
        <v>341.37441782519079</v>
      </c>
      <c r="E126" s="6">
        <f t="shared" si="64"/>
        <v>0.37606283238334581</v>
      </c>
      <c r="F126" s="6">
        <f t="shared" si="65"/>
        <v>0.43732378116287646</v>
      </c>
      <c r="H126" s="6">
        <f t="shared" si="66"/>
        <v>518.25795964752047</v>
      </c>
      <c r="I126" s="6">
        <f t="shared" si="67"/>
        <v>2184.1660515508288</v>
      </c>
      <c r="J126" s="6">
        <f t="shared" si="68"/>
        <v>47.933175862439093</v>
      </c>
      <c r="K126" s="6">
        <f t="shared" si="69"/>
        <v>53.675979908564877</v>
      </c>
      <c r="L126" s="6">
        <f t="shared" si="70"/>
        <v>65.97851177548533</v>
      </c>
      <c r="M126" s="6">
        <f t="shared" si="71"/>
        <v>1684.9063640310915</v>
      </c>
      <c r="O126" s="6">
        <f t="shared" si="72"/>
        <v>0.11377986492412838</v>
      </c>
      <c r="P126" s="6">
        <f t="shared" si="73"/>
        <v>0.47951818913951749</v>
      </c>
      <c r="Q126" s="6">
        <f t="shared" si="74"/>
        <v>1.0523389315085658E-2</v>
      </c>
      <c r="R126" s="6">
        <f t="shared" si="75"/>
        <v>1.1784181274939652E-2</v>
      </c>
      <c r="S126" s="6">
        <f t="shared" si="76"/>
        <v>1.448511502421582E-2</v>
      </c>
      <c r="T126" s="6">
        <f t="shared" si="77"/>
        <v>0.36990926032211319</v>
      </c>
      <c r="V126" s="6">
        <f t="shared" si="78"/>
        <v>19.911476361722467</v>
      </c>
      <c r="W126" s="6">
        <f t="shared" si="79"/>
        <v>83.91568309941556</v>
      </c>
      <c r="X126" s="6">
        <f t="shared" si="80"/>
        <v>1.8415931301399902</v>
      </c>
      <c r="Y126" s="6">
        <f t="shared" si="81"/>
        <v>2.0622317231144391</v>
      </c>
      <c r="Z126" s="6">
        <f t="shared" si="82"/>
        <v>2.5348951292377686</v>
      </c>
      <c r="AA126" s="6">
        <f t="shared" si="83"/>
        <v>64.734120556369803</v>
      </c>
      <c r="AC126" s="14">
        <f t="shared" si="84"/>
        <v>3.5340157369465712E-2</v>
      </c>
      <c r="AD126" s="17"/>
      <c r="AE126" s="15">
        <f t="shared" si="85"/>
        <v>4.1097098454950312E-2</v>
      </c>
    </row>
    <row r="127" spans="2:31" x14ac:dyDescent="0.2">
      <c r="B127" s="6">
        <f t="shared" si="61"/>
        <v>112</v>
      </c>
      <c r="C127" s="6">
        <f t="shared" si="62"/>
        <v>10.960469510798397</v>
      </c>
      <c r="D127" s="6">
        <f t="shared" si="63"/>
        <v>352.01565035994651</v>
      </c>
      <c r="E127" s="6">
        <f t="shared" si="64"/>
        <v>0.37653092670128135</v>
      </c>
      <c r="F127" s="6">
        <f t="shared" si="65"/>
        <v>0.44208717247166518</v>
      </c>
      <c r="H127" s="6">
        <f t="shared" si="66"/>
        <v>517.44457303397428</v>
      </c>
      <c r="I127" s="6">
        <f t="shared" si="67"/>
        <v>2182.600539272516</v>
      </c>
      <c r="J127" s="6">
        <f t="shared" si="68"/>
        <v>48.30923869482244</v>
      </c>
      <c r="K127" s="6">
        <f t="shared" si="69"/>
        <v>54.113303689727751</v>
      </c>
      <c r="L127" s="6">
        <f t="shared" si="70"/>
        <v>66.791898389031545</v>
      </c>
      <c r="M127" s="6">
        <f t="shared" si="71"/>
        <v>1684.9063640310915</v>
      </c>
      <c r="O127" s="6">
        <f t="shared" si="72"/>
        <v>0.11362005303535448</v>
      </c>
      <c r="P127" s="6">
        <f t="shared" si="73"/>
        <v>0.47925362821585582</v>
      </c>
      <c r="Q127" s="6">
        <f t="shared" si="74"/>
        <v>1.0607702831667221E-2</v>
      </c>
      <c r="R127" s="6">
        <f t="shared" si="75"/>
        <v>1.1882154641404314E-2</v>
      </c>
      <c r="S127" s="6">
        <f t="shared" si="76"/>
        <v>1.4666110019856179E-2</v>
      </c>
      <c r="T127" s="6">
        <f t="shared" si="77"/>
        <v>0.36997035125586181</v>
      </c>
      <c r="V127" s="6">
        <f t="shared" si="78"/>
        <v>19.883509281187035</v>
      </c>
      <c r="W127" s="6">
        <f t="shared" si="79"/>
        <v>83.869384937774768</v>
      </c>
      <c r="X127" s="6">
        <f t="shared" si="80"/>
        <v>1.8563479955417637</v>
      </c>
      <c r="Y127" s="6">
        <f t="shared" si="81"/>
        <v>2.0793770622457548</v>
      </c>
      <c r="Z127" s="6">
        <f t="shared" si="82"/>
        <v>2.5665692534748312</v>
      </c>
      <c r="AA127" s="6">
        <f t="shared" si="83"/>
        <v>64.744811469775811</v>
      </c>
      <c r="AC127" s="14">
        <f t="shared" si="84"/>
        <v>3.4353539903588817E-2</v>
      </c>
      <c r="AD127" s="17"/>
      <c r="AE127" s="15">
        <f t="shared" si="85"/>
        <v>4.0334692965124819E-2</v>
      </c>
    </row>
    <row r="128" spans="2:31" x14ac:dyDescent="0.2">
      <c r="B128" s="6">
        <f t="shared" si="61"/>
        <v>113</v>
      </c>
      <c r="C128" s="6">
        <f t="shared" si="62"/>
        <v>11.289283596122349</v>
      </c>
      <c r="D128" s="6">
        <f t="shared" si="63"/>
        <v>362.97611987074492</v>
      </c>
      <c r="E128" s="6">
        <f t="shared" si="64"/>
        <v>0.37700674832706088</v>
      </c>
      <c r="F128" s="6">
        <f t="shared" si="65"/>
        <v>0.44678506119695544</v>
      </c>
      <c r="H128" s="6">
        <f t="shared" si="66"/>
        <v>516.62595493480126</v>
      </c>
      <c r="I128" s="6">
        <f t="shared" si="67"/>
        <v>2181.0288593199407</v>
      </c>
      <c r="J128" s="6">
        <f t="shared" si="68"/>
        <v>48.685769621523718</v>
      </c>
      <c r="K128" s="6">
        <f t="shared" si="69"/>
        <v>54.555390862199417</v>
      </c>
      <c r="L128" s="6">
        <f t="shared" si="70"/>
        <v>67.610516488204482</v>
      </c>
      <c r="M128" s="6">
        <f t="shared" si="71"/>
        <v>1684.9063640310915</v>
      </c>
      <c r="O128" s="6">
        <f t="shared" si="72"/>
        <v>0.11345906276393554</v>
      </c>
      <c r="P128" s="6">
        <f t="shared" si="73"/>
        <v>0.47898772385674132</v>
      </c>
      <c r="Q128" s="6">
        <f t="shared" si="74"/>
        <v>1.0692149200858637E-2</v>
      </c>
      <c r="R128" s="6">
        <f t="shared" si="75"/>
        <v>1.1981208951699841E-2</v>
      </c>
      <c r="S128" s="6">
        <f t="shared" si="76"/>
        <v>1.4848316776313304E-2</v>
      </c>
      <c r="T128" s="6">
        <f t="shared" si="77"/>
        <v>0.37003153845045128</v>
      </c>
      <c r="V128" s="6">
        <f t="shared" si="78"/>
        <v>19.855335983688718</v>
      </c>
      <c r="W128" s="6">
        <f t="shared" si="79"/>
        <v>83.822851674929737</v>
      </c>
      <c r="X128" s="6">
        <f t="shared" si="80"/>
        <v>1.8711261101502614</v>
      </c>
      <c r="Y128" s="6">
        <f t="shared" si="81"/>
        <v>2.096711566547472</v>
      </c>
      <c r="Z128" s="6">
        <f t="shared" si="82"/>
        <v>2.5984554358548282</v>
      </c>
      <c r="AA128" s="6">
        <f t="shared" si="83"/>
        <v>64.755519228828973</v>
      </c>
      <c r="AC128" s="14">
        <f t="shared" si="84"/>
        <v>3.3395099442497432E-2</v>
      </c>
      <c r="AD128" s="17"/>
      <c r="AE128" s="15">
        <f t="shared" si="85"/>
        <v>3.957603309304919E-2</v>
      </c>
    </row>
    <row r="129" spans="2:31" x14ac:dyDescent="0.2">
      <c r="B129" s="6">
        <f t="shared" si="61"/>
        <v>114</v>
      </c>
      <c r="C129" s="6">
        <f t="shared" si="62"/>
        <v>11.62796210400602</v>
      </c>
      <c r="D129" s="6">
        <f t="shared" si="63"/>
        <v>374.26540346686727</v>
      </c>
      <c r="E129" s="6">
        <f t="shared" si="64"/>
        <v>0.37749116903601576</v>
      </c>
      <c r="F129" s="6">
        <f t="shared" si="65"/>
        <v>0.45141046781080296</v>
      </c>
      <c r="H129" s="6">
        <f t="shared" si="66"/>
        <v>515.80216312527727</v>
      </c>
      <c r="I129" s="6">
        <f t="shared" si="67"/>
        <v>2179.4510540137626</v>
      </c>
      <c r="J129" s="6">
        <f t="shared" si="68"/>
        <v>49.062776369850781</v>
      </c>
      <c r="K129" s="6">
        <f t="shared" si="69"/>
        <v>55.002175923396372</v>
      </c>
      <c r="L129" s="6">
        <f t="shared" si="70"/>
        <v>68.434308297728506</v>
      </c>
      <c r="M129" s="6">
        <f t="shared" si="71"/>
        <v>1684.9063640310915</v>
      </c>
      <c r="O129" s="6">
        <f t="shared" si="72"/>
        <v>0.11329690650085023</v>
      </c>
      <c r="P129" s="6">
        <f t="shared" si="73"/>
        <v>0.4787204861523699</v>
      </c>
      <c r="Q129" s="6">
        <f t="shared" si="74"/>
        <v>1.0776730274582095E-2</v>
      </c>
      <c r="R129" s="6">
        <f t="shared" si="75"/>
        <v>1.2081330456582126E-2</v>
      </c>
      <c r="S129" s="6">
        <f t="shared" si="76"/>
        <v>1.5031723367889351E-2</v>
      </c>
      <c r="T129" s="6">
        <f t="shared" si="77"/>
        <v>0.37009282324772619</v>
      </c>
      <c r="V129" s="6">
        <f t="shared" si="78"/>
        <v>19.82695863764879</v>
      </c>
      <c r="W129" s="6">
        <f t="shared" si="79"/>
        <v>83.776085076664728</v>
      </c>
      <c r="X129" s="6">
        <f t="shared" si="80"/>
        <v>1.8859277980518665</v>
      </c>
      <c r="Y129" s="6">
        <f t="shared" si="81"/>
        <v>2.114232829901872</v>
      </c>
      <c r="Z129" s="6">
        <f t="shared" si="82"/>
        <v>2.6305515893806364</v>
      </c>
      <c r="AA129" s="6">
        <f t="shared" si="83"/>
        <v>64.76624406835208</v>
      </c>
      <c r="AC129" s="14">
        <f t="shared" si="84"/>
        <v>3.2464086626663842E-2</v>
      </c>
      <c r="AD129" s="17"/>
      <c r="AE129" s="15">
        <f t="shared" si="85"/>
        <v>3.8821116182971113E-2</v>
      </c>
    </row>
    <row r="130" spans="2:31" x14ac:dyDescent="0.2">
      <c r="B130" s="6">
        <f t="shared" si="61"/>
        <v>115</v>
      </c>
      <c r="C130" s="6">
        <f t="shared" si="62"/>
        <v>11.9768009671262</v>
      </c>
      <c r="D130" s="6">
        <f t="shared" si="63"/>
        <v>385.8933655708733</v>
      </c>
      <c r="E130" s="6">
        <f t="shared" si="64"/>
        <v>0.3779851109459354</v>
      </c>
      <c r="F130" s="6">
        <f t="shared" si="65"/>
        <v>0.45595613962075388</v>
      </c>
      <c r="H130" s="6">
        <f t="shared" si="66"/>
        <v>514.97326148843047</v>
      </c>
      <c r="I130" s="6">
        <f t="shared" si="67"/>
        <v>2177.8671700388436</v>
      </c>
      <c r="J130" s="6">
        <f t="shared" si="68"/>
        <v>49.440267538886793</v>
      </c>
      <c r="K130" s="6">
        <f t="shared" si="69"/>
        <v>55.453586391207175</v>
      </c>
      <c r="L130" s="6">
        <f t="shared" si="70"/>
        <v>69.263209934575329</v>
      </c>
      <c r="M130" s="6">
        <f t="shared" si="71"/>
        <v>1684.9063640310915</v>
      </c>
      <c r="O130" s="6">
        <f t="shared" si="72"/>
        <v>0.11313359802676162</v>
      </c>
      <c r="P130" s="6">
        <f t="shared" si="73"/>
        <v>0.4784519263363558</v>
      </c>
      <c r="Q130" s="6">
        <f t="shared" si="74"/>
        <v>1.0861448102982006E-2</v>
      </c>
      <c r="R130" s="6">
        <f t="shared" si="75"/>
        <v>1.2182503871739516E-2</v>
      </c>
      <c r="S130" s="6">
        <f t="shared" si="76"/>
        <v>1.521631652900389E-2</v>
      </c>
      <c r="T130" s="6">
        <f t="shared" si="77"/>
        <v>0.37015420713315711</v>
      </c>
      <c r="V130" s="6">
        <f t="shared" si="78"/>
        <v>19.798379654683284</v>
      </c>
      <c r="W130" s="6">
        <f t="shared" si="79"/>
        <v>83.729087108862259</v>
      </c>
      <c r="X130" s="6">
        <f t="shared" si="80"/>
        <v>1.900753418021851</v>
      </c>
      <c r="Y130" s="6">
        <f t="shared" si="81"/>
        <v>2.1319381775544155</v>
      </c>
      <c r="Z130" s="6">
        <f t="shared" si="82"/>
        <v>2.6628553925756808</v>
      </c>
      <c r="AA130" s="6">
        <f t="shared" si="83"/>
        <v>64.776986248302492</v>
      </c>
      <c r="AC130" s="14">
        <f t="shared" si="84"/>
        <v>3.1559772261676972E-2</v>
      </c>
      <c r="AD130" s="17"/>
      <c r="AE130" s="15">
        <f t="shared" si="85"/>
        <v>3.8069943791523092E-2</v>
      </c>
    </row>
    <row r="131" spans="2:31" x14ac:dyDescent="0.2">
      <c r="B131" s="6">
        <f t="shared" si="61"/>
        <v>116</v>
      </c>
      <c r="C131" s="6">
        <f t="shared" si="62"/>
        <v>12.336104996139987</v>
      </c>
      <c r="D131" s="6">
        <f t="shared" si="63"/>
        <v>397.87016653799952</v>
      </c>
      <c r="E131" s="6">
        <f t="shared" si="64"/>
        <v>0.37848954774764865</v>
      </c>
      <c r="F131" s="6">
        <f t="shared" si="65"/>
        <v>0.46041454729431464</v>
      </c>
      <c r="H131" s="6">
        <f t="shared" si="66"/>
        <v>514.13932023786379</v>
      </c>
      <c r="I131" s="6">
        <f t="shared" si="67"/>
        <v>2176.2772585663847</v>
      </c>
      <c r="J131" s="6">
        <f t="shared" si="68"/>
        <v>49.818252649832729</v>
      </c>
      <c r="K131" s="6">
        <f t="shared" si="69"/>
        <v>55.909542530827927</v>
      </c>
      <c r="L131" s="6">
        <f t="shared" si="70"/>
        <v>70.09715118514201</v>
      </c>
      <c r="M131" s="6">
        <f t="shared" si="71"/>
        <v>1684.9063640310915</v>
      </c>
      <c r="O131" s="6">
        <f t="shared" si="72"/>
        <v>0.11296915256430178</v>
      </c>
      <c r="P131" s="6">
        <f t="shared" si="73"/>
        <v>0.47818205682355541</v>
      </c>
      <c r="Q131" s="6">
        <f t="shared" si="74"/>
        <v>1.0946304946064338E-2</v>
      </c>
      <c r="R131" s="6">
        <f t="shared" si="75"/>
        <v>1.2284712316971459E-2</v>
      </c>
      <c r="S131" s="6">
        <f t="shared" si="76"/>
        <v>1.5402081604833563E-2</v>
      </c>
      <c r="T131" s="6">
        <f t="shared" si="77"/>
        <v>0.3702156917442736</v>
      </c>
      <c r="V131" s="6">
        <f t="shared" si="78"/>
        <v>19.769601698752812</v>
      </c>
      <c r="W131" s="6">
        <f t="shared" si="79"/>
        <v>83.681859944122195</v>
      </c>
      <c r="X131" s="6">
        <f t="shared" si="80"/>
        <v>1.9156033655612592</v>
      </c>
      <c r="Y131" s="6">
        <f t="shared" si="81"/>
        <v>2.1498246554700056</v>
      </c>
      <c r="Z131" s="6">
        <f t="shared" si="82"/>
        <v>2.6953642808458738</v>
      </c>
      <c r="AA131" s="6">
        <f t="shared" si="83"/>
        <v>64.787746055247879</v>
      </c>
      <c r="AC131" s="14">
        <f t="shared" si="84"/>
        <v>3.0681446685649923E-2</v>
      </c>
      <c r="AD131" s="17"/>
      <c r="AE131" s="15">
        <f t="shared" si="85"/>
        <v>3.7322521771529997E-2</v>
      </c>
    </row>
    <row r="132" spans="2:31" x14ac:dyDescent="0.2">
      <c r="B132" s="6">
        <f t="shared" si="61"/>
        <v>117</v>
      </c>
      <c r="C132" s="6">
        <f t="shared" si="62"/>
        <v>12.706188146024187</v>
      </c>
      <c r="D132" s="6">
        <f t="shared" si="63"/>
        <v>410.20627153413949</v>
      </c>
      <c r="E132" s="6">
        <f t="shared" si="64"/>
        <v>0.37900550597063737</v>
      </c>
      <c r="F132" s="6">
        <f t="shared" si="65"/>
        <v>0.46477788187946462</v>
      </c>
      <c r="H132" s="6">
        <f t="shared" si="66"/>
        <v>513.30041614282175</v>
      </c>
      <c r="I132" s="6">
        <f t="shared" si="67"/>
        <v>2174.6813753758474</v>
      </c>
      <c r="J132" s="6">
        <f t="shared" si="68"/>
        <v>50.196742197580377</v>
      </c>
      <c r="K132" s="6">
        <f t="shared" si="69"/>
        <v>56.369957078122241</v>
      </c>
      <c r="L132" s="6">
        <f t="shared" si="70"/>
        <v>70.936055280183979</v>
      </c>
      <c r="M132" s="6">
        <f t="shared" si="71"/>
        <v>1684.9063640310915</v>
      </c>
      <c r="O132" s="6">
        <f t="shared" si="72"/>
        <v>0.11280358683093984</v>
      </c>
      <c r="P132" s="6">
        <f t="shared" si="73"/>
        <v>0.47791089124810104</v>
      </c>
      <c r="Q132" s="6">
        <f t="shared" si="74"/>
        <v>1.1031303285636828E-2</v>
      </c>
      <c r="R132" s="6">
        <f t="shared" si="75"/>
        <v>1.2387937254562926E-2</v>
      </c>
      <c r="S132" s="6">
        <f t="shared" si="76"/>
        <v>1.5589002501443782E-2</v>
      </c>
      <c r="T132" s="6">
        <f t="shared" si="77"/>
        <v>0.37027727887931561</v>
      </c>
      <c r="V132" s="6">
        <f t="shared" si="78"/>
        <v>19.740627695414471</v>
      </c>
      <c r="W132" s="6">
        <f t="shared" si="79"/>
        <v>83.634405968417681</v>
      </c>
      <c r="X132" s="6">
        <f t="shared" si="80"/>
        <v>1.9304780749864447</v>
      </c>
      <c r="Y132" s="6">
        <f t="shared" si="81"/>
        <v>2.1678890195485119</v>
      </c>
      <c r="Z132" s="6">
        <f t="shared" si="82"/>
        <v>2.7280754377526617</v>
      </c>
      <c r="AA132" s="6">
        <f t="shared" si="83"/>
        <v>64.798523803880229</v>
      </c>
      <c r="AC132" s="14">
        <f t="shared" si="84"/>
        <v>2.9828419161983647E-2</v>
      </c>
      <c r="AD132" s="17"/>
      <c r="AE132" s="15">
        <f t="shared" si="85"/>
        <v>3.6578860358281041E-2</v>
      </c>
    </row>
    <row r="133" spans="2:31" x14ac:dyDescent="0.2">
      <c r="B133" s="6">
        <f t="shared" si="61"/>
        <v>118</v>
      </c>
      <c r="C133" s="6">
        <f t="shared" si="62"/>
        <v>13.087373790404913</v>
      </c>
      <c r="D133" s="6">
        <f t="shared" si="63"/>
        <v>422.91245968016369</v>
      </c>
      <c r="E133" s="6">
        <f t="shared" si="64"/>
        <v>0.37953406628436964</v>
      </c>
      <c r="F133" s="6">
        <f t="shared" si="65"/>
        <v>0.46903805237854862</v>
      </c>
      <c r="H133" s="6">
        <f t="shared" si="66"/>
        <v>512.45663275497157</v>
      </c>
      <c r="I133" s="6">
        <f t="shared" si="67"/>
        <v>2173.0795809760561</v>
      </c>
      <c r="J133" s="6">
        <f t="shared" si="68"/>
        <v>50.575747703551016</v>
      </c>
      <c r="K133" s="6">
        <f t="shared" si="69"/>
        <v>56.834734960001704</v>
      </c>
      <c r="L133" s="6">
        <f t="shared" si="70"/>
        <v>71.779838668034088</v>
      </c>
      <c r="M133" s="6">
        <f t="shared" si="71"/>
        <v>1684.9063640310915</v>
      </c>
      <c r="O133" s="6">
        <f t="shared" si="72"/>
        <v>0.11263691909231925</v>
      </c>
      <c r="P133" s="6">
        <f t="shared" si="73"/>
        <v>0.47763844450151949</v>
      </c>
      <c r="Q133" s="6">
        <f t="shared" si="74"/>
        <v>1.1116445837558848E-2</v>
      </c>
      <c r="R133" s="6">
        <f t="shared" si="75"/>
        <v>1.2492158426963038E-2</v>
      </c>
      <c r="S133" s="6">
        <f t="shared" si="76"/>
        <v>1.5777061635529485E-2</v>
      </c>
      <c r="T133" s="6">
        <f t="shared" si="77"/>
        <v>0.37033897050610998</v>
      </c>
      <c r="V133" s="6">
        <f t="shared" si="78"/>
        <v>19.711460841155869</v>
      </c>
      <c r="W133" s="6">
        <f t="shared" si="79"/>
        <v>83.586727787765909</v>
      </c>
      <c r="X133" s="6">
        <f t="shared" si="80"/>
        <v>1.9453780215727983</v>
      </c>
      <c r="Y133" s="6">
        <f t="shared" si="81"/>
        <v>2.1861277247185318</v>
      </c>
      <c r="Z133" s="6">
        <f t="shared" si="82"/>
        <v>2.7609857862176601</v>
      </c>
      <c r="AA133" s="6">
        <f t="shared" si="83"/>
        <v>64.809319838569252</v>
      </c>
      <c r="AC133" s="14">
        <f t="shared" si="84"/>
        <v>2.9000017296260564E-2</v>
      </c>
      <c r="AD133" s="17"/>
      <c r="AE133" s="15">
        <f t="shared" si="85"/>
        <v>3.583897425795439E-2</v>
      </c>
    </row>
    <row r="134" spans="2:31" x14ac:dyDescent="0.2">
      <c r="B134" s="6">
        <f t="shared" si="61"/>
        <v>119</v>
      </c>
      <c r="C134" s="6">
        <f t="shared" si="62"/>
        <v>13.479995004117061</v>
      </c>
      <c r="D134" s="6">
        <f t="shared" si="63"/>
        <v>435.9998334705686</v>
      </c>
      <c r="E134" s="6">
        <f t="shared" si="64"/>
        <v>0.38007636483608798</v>
      </c>
      <c r="F134" s="6">
        <f t="shared" si="65"/>
        <v>0.47318668393640984</v>
      </c>
      <c r="H134" s="6">
        <f t="shared" si="66"/>
        <v>511.60806063630866</v>
      </c>
      <c r="I134" s="6">
        <f t="shared" si="67"/>
        <v>2171.4719407248244</v>
      </c>
      <c r="J134" s="6">
        <f t="shared" si="68"/>
        <v>50.955281769835388</v>
      </c>
      <c r="K134" s="6">
        <f t="shared" si="69"/>
        <v>57.303773012380255</v>
      </c>
      <c r="L134" s="6">
        <f t="shared" si="70"/>
        <v>72.628410786697003</v>
      </c>
      <c r="M134" s="6">
        <f t="shared" si="71"/>
        <v>1684.9063640310915</v>
      </c>
      <c r="O134" s="6">
        <f t="shared" si="72"/>
        <v>0.11246916921593544</v>
      </c>
      <c r="P134" s="6">
        <f t="shared" si="73"/>
        <v>0.47736473277079472</v>
      </c>
      <c r="Q134" s="6">
        <f t="shared" si="74"/>
        <v>1.1201735564309768E-2</v>
      </c>
      <c r="R134" s="6">
        <f t="shared" si="75"/>
        <v>1.2597353793888908E-2</v>
      </c>
      <c r="S134" s="6">
        <f t="shared" si="76"/>
        <v>1.5966239883894791E-2</v>
      </c>
      <c r="T134" s="6">
        <f t="shared" si="77"/>
        <v>0.37040076877117639</v>
      </c>
      <c r="V134" s="6">
        <f t="shared" si="78"/>
        <v>19.682104612788702</v>
      </c>
      <c r="W134" s="6">
        <f t="shared" si="79"/>
        <v>83.538828234889081</v>
      </c>
      <c r="X134" s="6">
        <f t="shared" si="80"/>
        <v>1.9603037237542094</v>
      </c>
      <c r="Y134" s="6">
        <f t="shared" si="81"/>
        <v>2.2045369139305588</v>
      </c>
      <c r="Z134" s="6">
        <f t="shared" si="82"/>
        <v>2.7940919796815882</v>
      </c>
      <c r="AA134" s="6">
        <f t="shared" si="83"/>
        <v>64.820134534955869</v>
      </c>
      <c r="AC134" s="14">
        <f t="shared" si="84"/>
        <v>2.8195586476108116E-2</v>
      </c>
      <c r="AD134" s="17"/>
      <c r="AE134" s="15">
        <f t="shared" si="85"/>
        <v>3.5102882737856292E-2</v>
      </c>
    </row>
    <row r="135" spans="2:31" x14ac:dyDescent="0.2">
      <c r="B135" s="6">
        <f t="shared" si="61"/>
        <v>120</v>
      </c>
      <c r="C135" s="6">
        <f t="shared" si="62"/>
        <v>13.884394854240574</v>
      </c>
      <c r="D135" s="6">
        <f t="shared" si="63"/>
        <v>449.47982847468569</v>
      </c>
      <c r="E135" s="6">
        <f t="shared" si="64"/>
        <v>0.38063359462579377</v>
      </c>
      <c r="F135" s="6">
        <f t="shared" si="65"/>
        <v>0.47721511670722133</v>
      </c>
      <c r="H135" s="6">
        <f t="shared" si="66"/>
        <v>510.75479758753613</v>
      </c>
      <c r="I135" s="6">
        <f t="shared" si="67"/>
        <v>2169.8585249463795</v>
      </c>
      <c r="J135" s="6">
        <f t="shared" si="68"/>
        <v>51.335358134671473</v>
      </c>
      <c r="K135" s="6">
        <f t="shared" si="69"/>
        <v>57.776959696316666</v>
      </c>
      <c r="L135" s="6">
        <f t="shared" si="70"/>
        <v>73.481673835469493</v>
      </c>
      <c r="M135" s="6">
        <f t="shared" si="71"/>
        <v>1684.9063640310915</v>
      </c>
      <c r="O135" s="6">
        <f t="shared" si="72"/>
        <v>0.11230035872501395</v>
      </c>
      <c r="P135" s="6">
        <f t="shared" si="73"/>
        <v>0.47708977357622462</v>
      </c>
      <c r="Q135" s="6">
        <f t="shared" si="74"/>
        <v>1.1287175687885015E-2</v>
      </c>
      <c r="R135" s="6">
        <f t="shared" si="75"/>
        <v>1.2703499468989363E-2</v>
      </c>
      <c r="S135" s="6">
        <f t="shared" si="76"/>
        <v>1.6156516532815177E-2</v>
      </c>
      <c r="T135" s="6">
        <f t="shared" si="77"/>
        <v>0.37046267600907196</v>
      </c>
      <c r="V135" s="6">
        <f t="shared" si="78"/>
        <v>19.652562776877442</v>
      </c>
      <c r="W135" s="6">
        <f t="shared" si="79"/>
        <v>83.490710375839313</v>
      </c>
      <c r="X135" s="6">
        <f t="shared" si="80"/>
        <v>1.9752557453798776</v>
      </c>
      <c r="Y135" s="6">
        <f t="shared" si="81"/>
        <v>2.2231124070731387</v>
      </c>
      <c r="Z135" s="6">
        <f t="shared" si="82"/>
        <v>2.8273903932426561</v>
      </c>
      <c r="AA135" s="6">
        <f t="shared" si="83"/>
        <v>64.830968301587589</v>
      </c>
      <c r="AC135" s="14">
        <f t="shared" si="84"/>
        <v>2.7414489332931974E-2</v>
      </c>
      <c r="AD135" s="17"/>
      <c r="AE135" s="15">
        <f t="shared" si="85"/>
        <v>3.4370609718108833E-2</v>
      </c>
    </row>
    <row r="136" spans="2:31" x14ac:dyDescent="0.2">
      <c r="B136" s="6">
        <f t="shared" si="61"/>
        <v>121</v>
      </c>
      <c r="C136" s="6">
        <f t="shared" si="62"/>
        <v>14.300926699867791</v>
      </c>
      <c r="D136" s="6">
        <f t="shared" si="63"/>
        <v>463.36422332892624</v>
      </c>
      <c r="E136" s="6">
        <f t="shared" si="64"/>
        <v>0.38120700691920756</v>
      </c>
      <c r="F136" s="6">
        <f t="shared" si="65"/>
        <v>0.4811144054681159</v>
      </c>
      <c r="H136" s="6">
        <f t="shared" si="66"/>
        <v>509.89694887620311</v>
      </c>
      <c r="I136" s="6">
        <f t="shared" si="67"/>
        <v>2168.2394090457951</v>
      </c>
      <c r="J136" s="6">
        <f t="shared" si="68"/>
        <v>51.715991729297265</v>
      </c>
      <c r="K136" s="6">
        <f t="shared" si="69"/>
        <v>58.254174813023887</v>
      </c>
      <c r="L136" s="6">
        <f t="shared" si="70"/>
        <v>74.339522546802513</v>
      </c>
      <c r="M136" s="6">
        <f t="shared" si="71"/>
        <v>1684.9063640310915</v>
      </c>
      <c r="O136" s="6">
        <f t="shared" si="72"/>
        <v>0.11213051085243231</v>
      </c>
      <c r="P136" s="6">
        <f t="shared" si="73"/>
        <v>0.47681358580890232</v>
      </c>
      <c r="Q136" s="6">
        <f t="shared" si="74"/>
        <v>1.1372769703029112E-2</v>
      </c>
      <c r="R136" s="6">
        <f t="shared" si="75"/>
        <v>1.2810569656217284E-2</v>
      </c>
      <c r="S136" s="6">
        <f t="shared" si="76"/>
        <v>1.6347869227440096E-2</v>
      </c>
      <c r="T136" s="6">
        <f t="shared" si="77"/>
        <v>0.37052469475197891</v>
      </c>
      <c r="V136" s="6">
        <f t="shared" si="78"/>
        <v>19.622839399175653</v>
      </c>
      <c r="W136" s="6">
        <f t="shared" si="79"/>
        <v>83.442377516557912</v>
      </c>
      <c r="X136" s="6">
        <f t="shared" si="80"/>
        <v>1.9902346980300947</v>
      </c>
      <c r="Y136" s="6">
        <f t="shared" si="81"/>
        <v>2.2418496898380247</v>
      </c>
      <c r="Z136" s="6">
        <f t="shared" si="82"/>
        <v>2.8608771148020167</v>
      </c>
      <c r="AA136" s="6">
        <f t="shared" si="83"/>
        <v>64.841821581596307</v>
      </c>
      <c r="AC136" s="14">
        <f t="shared" si="84"/>
        <v>2.665610522447694E-2</v>
      </c>
      <c r="AD136" s="17"/>
      <c r="AE136" s="15">
        <f t="shared" si="85"/>
        <v>3.3642183864389968E-2</v>
      </c>
    </row>
    <row r="137" spans="2:31" x14ac:dyDescent="0.2">
      <c r="B137" s="6">
        <f t="shared" si="61"/>
        <v>122</v>
      </c>
      <c r="C137" s="6">
        <f t="shared" si="62"/>
        <v>14.729954500863824</v>
      </c>
      <c r="D137" s="6">
        <f t="shared" si="63"/>
        <v>477.66515002879402</v>
      </c>
      <c r="E137" s="6">
        <f t="shared" si="64"/>
        <v>0.38179791269946262</v>
      </c>
      <c r="F137" s="6">
        <f t="shared" si="65"/>
        <v>0.48487532005136991</v>
      </c>
      <c r="H137" s="6">
        <f t="shared" si="66"/>
        <v>509.03462746381575</v>
      </c>
      <c r="I137" s="6">
        <f t="shared" si="67"/>
        <v>2166.6146736195697</v>
      </c>
      <c r="J137" s="6">
        <f t="shared" si="68"/>
        <v>52.09719873621647</v>
      </c>
      <c r="K137" s="6">
        <f t="shared" si="69"/>
        <v>58.735289218492007</v>
      </c>
      <c r="L137" s="6">
        <f t="shared" si="70"/>
        <v>75.201843959189844</v>
      </c>
      <c r="M137" s="6">
        <f t="shared" si="71"/>
        <v>1684.9063640310915</v>
      </c>
      <c r="O137" s="6">
        <f t="shared" si="72"/>
        <v>0.1119596505945154</v>
      </c>
      <c r="P137" s="6">
        <f t="shared" si="73"/>
        <v>0.47653618976764045</v>
      </c>
      <c r="Q137" s="6">
        <f t="shared" si="74"/>
        <v>1.1458521390815291E-2</v>
      </c>
      <c r="R137" s="6">
        <f t="shared" si="75"/>
        <v>1.2918536586074629E-2</v>
      </c>
      <c r="S137" s="6">
        <f t="shared" si="76"/>
        <v>1.6540273921409523E-2</v>
      </c>
      <c r="T137" s="6">
        <f t="shared" si="77"/>
        <v>0.37058682773954466</v>
      </c>
      <c r="V137" s="6">
        <f t="shared" si="78"/>
        <v>19.592938854040195</v>
      </c>
      <c r="W137" s="6">
        <f t="shared" si="79"/>
        <v>83.393833209337075</v>
      </c>
      <c r="X137" s="6">
        <f t="shared" si="80"/>
        <v>2.0052412433926761</v>
      </c>
      <c r="Y137" s="6">
        <f t="shared" si="81"/>
        <v>2.26074390256306</v>
      </c>
      <c r="Z137" s="6">
        <f t="shared" si="82"/>
        <v>2.8945479362466666</v>
      </c>
      <c r="AA137" s="6">
        <f t="shared" si="83"/>
        <v>64.852694854420321</v>
      </c>
      <c r="AC137" s="14">
        <f t="shared" si="84"/>
        <v>2.5919829737225085E-2</v>
      </c>
      <c r="AD137" s="17"/>
      <c r="AE137" s="15">
        <f t="shared" si="85"/>
        <v>3.2917638681296324E-2</v>
      </c>
    </row>
    <row r="138" spans="2:31" x14ac:dyDescent="0.2">
      <c r="B138" s="6">
        <f t="shared" si="61"/>
        <v>123</v>
      </c>
      <c r="C138" s="6">
        <f t="shared" si="62"/>
        <v>15.171853135889739</v>
      </c>
      <c r="D138" s="6">
        <f t="shared" si="63"/>
        <v>492.39510452965783</v>
      </c>
      <c r="E138" s="6">
        <f t="shared" si="64"/>
        <v>0.38240768415830084</v>
      </c>
      <c r="F138" s="6">
        <f t="shared" si="65"/>
        <v>0.48848834667058166</v>
      </c>
      <c r="H138" s="6">
        <f t="shared" si="66"/>
        <v>508.16795423106493</v>
      </c>
      <c r="I138" s="6">
        <f t="shared" si="67"/>
        <v>2164.98440456142</v>
      </c>
      <c r="J138" s="6">
        <f t="shared" si="68"/>
        <v>52.478996648915931</v>
      </c>
      <c r="K138" s="6">
        <f t="shared" si="69"/>
        <v>59.220164538543379</v>
      </c>
      <c r="L138" s="6">
        <f t="shared" si="70"/>
        <v>76.068517191940686</v>
      </c>
      <c r="M138" s="6">
        <f t="shared" si="71"/>
        <v>1684.9063640310915</v>
      </c>
      <c r="O138" s="6">
        <f t="shared" si="72"/>
        <v>0.11178780476451693</v>
      </c>
      <c r="P138" s="6">
        <f t="shared" si="73"/>
        <v>0.4762576071951391</v>
      </c>
      <c r="Q138" s="6">
        <f t="shared" si="74"/>
        <v>1.154443483258143E-2</v>
      </c>
      <c r="R138" s="6">
        <f t="shared" si="75"/>
        <v>1.3027370451909857E-2</v>
      </c>
      <c r="S138" s="6">
        <f t="shared" si="76"/>
        <v>1.6733704826873818E-2</v>
      </c>
      <c r="T138" s="6">
        <f t="shared" si="77"/>
        <v>0.37064907792897883</v>
      </c>
      <c r="V138" s="6">
        <f t="shared" si="78"/>
        <v>19.562865833790461</v>
      </c>
      <c r="W138" s="6">
        <f t="shared" si="79"/>
        <v>83.345081259149339</v>
      </c>
      <c r="X138" s="6">
        <f t="shared" si="80"/>
        <v>2.0202760957017505</v>
      </c>
      <c r="Y138" s="6">
        <f t="shared" si="81"/>
        <v>2.2797898290842249</v>
      </c>
      <c r="Z138" s="6">
        <f t="shared" si="82"/>
        <v>2.9283983447029183</v>
      </c>
      <c r="AA138" s="6">
        <f t="shared" si="83"/>
        <v>64.863588637571297</v>
      </c>
      <c r="AC138" s="14">
        <f t="shared" si="84"/>
        <v>2.5205074207691695E-2</v>
      </c>
      <c r="AD138" s="17"/>
      <c r="AE138" s="15">
        <f t="shared" si="85"/>
        <v>3.219701260586548E-2</v>
      </c>
    </row>
    <row r="139" spans="2:31" x14ac:dyDescent="0.2">
      <c r="B139" s="6">
        <f t="shared" si="61"/>
        <v>124</v>
      </c>
      <c r="C139" s="6">
        <f t="shared" si="62"/>
        <v>15.627008729966432</v>
      </c>
      <c r="D139" s="6">
        <f t="shared" si="63"/>
        <v>507.56695766554759</v>
      </c>
      <c r="E139" s="6">
        <f t="shared" si="64"/>
        <v>0.38303775622750952</v>
      </c>
      <c r="F139" s="6">
        <f t="shared" si="65"/>
        <v>0.49194369021991707</v>
      </c>
      <c r="H139" s="6">
        <f t="shared" si="66"/>
        <v>507.29705820023605</v>
      </c>
      <c r="I139" s="6">
        <f t="shared" si="67"/>
        <v>2163.3486931622742</v>
      </c>
      <c r="J139" s="6">
        <f t="shared" si="68"/>
        <v>52.861404333074233</v>
      </c>
      <c r="K139" s="6">
        <f t="shared" si="69"/>
        <v>59.708652885213958</v>
      </c>
      <c r="L139" s="6">
        <f t="shared" si="70"/>
        <v>76.939413222769559</v>
      </c>
      <c r="M139" s="6">
        <f t="shared" si="71"/>
        <v>1684.9063640310915</v>
      </c>
      <c r="O139" s="6">
        <f t="shared" si="72"/>
        <v>0.11161500204558297</v>
      </c>
      <c r="P139" s="6">
        <f t="shared" si="73"/>
        <v>0.47597786131318065</v>
      </c>
      <c r="Q139" s="6">
        <f t="shared" si="74"/>
        <v>1.1630514424232321E-2</v>
      </c>
      <c r="R139" s="6">
        <f t="shared" si="75"/>
        <v>1.3137039346464435E-2</v>
      </c>
      <c r="S139" s="6">
        <f t="shared" si="76"/>
        <v>1.6928134365123314E-2</v>
      </c>
      <c r="T139" s="6">
        <f t="shared" si="77"/>
        <v>0.37071144850541643</v>
      </c>
      <c r="V139" s="6">
        <f t="shared" si="78"/>
        <v>19.532625357977022</v>
      </c>
      <c r="W139" s="6">
        <f t="shared" si="79"/>
        <v>83.296125729806619</v>
      </c>
      <c r="X139" s="6">
        <f t="shared" si="80"/>
        <v>2.0353400242406563</v>
      </c>
      <c r="Y139" s="6">
        <f t="shared" si="81"/>
        <v>2.2989818856312763</v>
      </c>
      <c r="Z139" s="6">
        <f t="shared" si="82"/>
        <v>2.9624235138965802</v>
      </c>
      <c r="AA139" s="6">
        <f t="shared" si="83"/>
        <v>64.874503488447871</v>
      </c>
      <c r="AC139" s="14">
        <f t="shared" si="84"/>
        <v>2.4511265261725639E-2</v>
      </c>
      <c r="AD139" s="17"/>
      <c r="AE139" s="15">
        <f t="shared" si="85"/>
        <v>3.1480349100756776E-2</v>
      </c>
    </row>
    <row r="140" spans="2:31" x14ac:dyDescent="0.2">
      <c r="B140" s="6">
        <f t="shared" si="61"/>
        <v>125</v>
      </c>
      <c r="C140" s="6">
        <f t="shared" si="62"/>
        <v>16.095818991865425</v>
      </c>
      <c r="D140" s="6">
        <f t="shared" si="63"/>
        <v>523.19396639551405</v>
      </c>
      <c r="E140" s="6">
        <f t="shared" si="64"/>
        <v>0.3836896281512866</v>
      </c>
      <c r="F140" s="6">
        <f t="shared" si="65"/>
        <v>0.49523127762908492</v>
      </c>
      <c r="H140" s="6">
        <f t="shared" si="66"/>
        <v>506.42207675378864</v>
      </c>
      <c r="I140" s="6">
        <f t="shared" si="67"/>
        <v>2161.7076362033717</v>
      </c>
      <c r="J140" s="6">
        <f t="shared" si="68"/>
        <v>53.244442089301742</v>
      </c>
      <c r="K140" s="6">
        <f t="shared" si="69"/>
        <v>60.200596575433877</v>
      </c>
      <c r="L140" s="6">
        <f t="shared" si="70"/>
        <v>77.814394669216981</v>
      </c>
      <c r="M140" s="6">
        <f t="shared" si="71"/>
        <v>1684.9063640310915</v>
      </c>
      <c r="O140" s="6">
        <f t="shared" si="72"/>
        <v>0.11144127304297641</v>
      </c>
      <c r="P140" s="6">
        <f t="shared" si="73"/>
        <v>0.47569697685661733</v>
      </c>
      <c r="Q140" s="6">
        <f t="shared" si="74"/>
        <v>1.1716764890918493E-2</v>
      </c>
      <c r="R140" s="6">
        <f t="shared" si="75"/>
        <v>1.3247509198882505E-2</v>
      </c>
      <c r="S140" s="6">
        <f t="shared" si="76"/>
        <v>1.7123533118051933E-2</v>
      </c>
      <c r="T140" s="6">
        <f t="shared" si="77"/>
        <v>0.37077394289255328</v>
      </c>
      <c r="V140" s="6">
        <f t="shared" si="78"/>
        <v>19.502222782520871</v>
      </c>
      <c r="W140" s="6">
        <f t="shared" si="79"/>
        <v>83.246970949908032</v>
      </c>
      <c r="X140" s="6">
        <f t="shared" si="80"/>
        <v>2.0504338559107365</v>
      </c>
      <c r="Y140" s="6">
        <f t="shared" si="81"/>
        <v>2.3183141098044384</v>
      </c>
      <c r="Z140" s="6">
        <f t="shared" si="82"/>
        <v>2.9966182956590881</v>
      </c>
      <c r="AA140" s="6">
        <f t="shared" si="83"/>
        <v>64.885440006196816</v>
      </c>
      <c r="AC140" s="14">
        <f t="shared" si="84"/>
        <v>2.38378443709635E-2</v>
      </c>
      <c r="AD140" s="17"/>
      <c r="AE140" s="15">
        <f t="shared" si="85"/>
        <v>3.0767696746550582E-2</v>
      </c>
    </row>
    <row r="141" spans="2:31" x14ac:dyDescent="0.2">
      <c r="B141" s="6">
        <f t="shared" si="61"/>
        <v>126</v>
      </c>
      <c r="C141" s="6">
        <f t="shared" si="62"/>
        <v>16.578693561621389</v>
      </c>
      <c r="D141" s="6">
        <f t="shared" si="63"/>
        <v>539.28978538737942</v>
      </c>
      <c r="E141" s="6">
        <f t="shared" si="64"/>
        <v>0.38436486510017731</v>
      </c>
      <c r="F141" s="6">
        <f t="shared" si="65"/>
        <v>0.4983407623602033</v>
      </c>
      <c r="H141" s="6">
        <f t="shared" si="66"/>
        <v>505.54315584800827</v>
      </c>
      <c r="I141" s="6">
        <f t="shared" si="67"/>
        <v>2160.061336041289</v>
      </c>
      <c r="J141" s="6">
        <f t="shared" si="68"/>
        <v>53.62813171745303</v>
      </c>
      <c r="K141" s="6">
        <f t="shared" si="69"/>
        <v>60.695827853062966</v>
      </c>
      <c r="L141" s="6">
        <f t="shared" si="70"/>
        <v>78.693315574997357</v>
      </c>
      <c r="M141" s="6">
        <f t="shared" si="71"/>
        <v>1684.9063640310915</v>
      </c>
      <c r="O141" s="6">
        <f t="shared" si="72"/>
        <v>0.11126665033532189</v>
      </c>
      <c r="P141" s="6">
        <f t="shared" si="73"/>
        <v>0.47541498010589917</v>
      </c>
      <c r="Q141" s="6">
        <f t="shared" si="74"/>
        <v>1.1803191302102048E-2</v>
      </c>
      <c r="R141" s="6">
        <f t="shared" si="75"/>
        <v>1.3358743712416249E-2</v>
      </c>
      <c r="S141" s="6">
        <f t="shared" si="76"/>
        <v>1.7319869780697512E-2</v>
      </c>
      <c r="T141" s="6">
        <f t="shared" si="77"/>
        <v>0.37083656476356314</v>
      </c>
      <c r="V141" s="6">
        <f t="shared" si="78"/>
        <v>19.471663808681331</v>
      </c>
      <c r="W141" s="6">
        <f t="shared" si="79"/>
        <v>83.197621518532358</v>
      </c>
      <c r="X141" s="6">
        <f t="shared" si="80"/>
        <v>2.0655584778678584</v>
      </c>
      <c r="Y141" s="6">
        <f t="shared" si="81"/>
        <v>2.3377801496728434</v>
      </c>
      <c r="Z141" s="6">
        <f t="shared" si="82"/>
        <v>3.0309772116220643</v>
      </c>
      <c r="AA141" s="6">
        <f t="shared" si="83"/>
        <v>64.89639883362355</v>
      </c>
      <c r="AC141" s="14">
        <f t="shared" si="84"/>
        <v>2.3184267425628596E-2</v>
      </c>
      <c r="AD141" s="17"/>
      <c r="AE141" s="15">
        <f t="shared" si="85"/>
        <v>3.0059109332585179E-2</v>
      </c>
    </row>
    <row r="142" spans="2:31" x14ac:dyDescent="0.2">
      <c r="B142" s="6">
        <f t="shared" si="61"/>
        <v>127</v>
      </c>
      <c r="C142" s="6">
        <f t="shared" si="62"/>
        <v>17.076054368470032</v>
      </c>
      <c r="D142" s="6">
        <f t="shared" si="63"/>
        <v>555.86847894900086</v>
      </c>
      <c r="E142" s="6">
        <f t="shared" si="64"/>
        <v>0.38506509982712095</v>
      </c>
      <c r="F142" s="6">
        <f t="shared" si="65"/>
        <v>0.50126153013606678</v>
      </c>
      <c r="H142" s="6">
        <f t="shared" si="66"/>
        <v>504.66045022054789</v>
      </c>
      <c r="I142" s="6">
        <f t="shared" si="67"/>
        <v>2158.4099006836282</v>
      </c>
      <c r="J142" s="6">
        <f t="shared" si="68"/>
        <v>54.012496582553204</v>
      </c>
      <c r="K142" s="6">
        <f t="shared" si="69"/>
        <v>61.194168615423166</v>
      </c>
      <c r="L142" s="6">
        <f t="shared" si="70"/>
        <v>79.576021202457738</v>
      </c>
      <c r="M142" s="6">
        <f t="shared" si="71"/>
        <v>1684.9063640310915</v>
      </c>
      <c r="O142" s="6">
        <f t="shared" si="72"/>
        <v>0.11109116852461155</v>
      </c>
      <c r="P142" s="6">
        <f t="shared" si="73"/>
        <v>0.47513189891786783</v>
      </c>
      <c r="Q142" s="6">
        <f t="shared" si="74"/>
        <v>1.1889799087020102E-2</v>
      </c>
      <c r="R142" s="6">
        <f t="shared" si="75"/>
        <v>1.3470704303078505E-2</v>
      </c>
      <c r="S142" s="6">
        <f t="shared" si="76"/>
        <v>1.7517111115120935E-2</v>
      </c>
      <c r="T142" s="6">
        <f t="shared" si="77"/>
        <v>0.3708993180523012</v>
      </c>
      <c r="V142" s="6">
        <f t="shared" si="78"/>
        <v>19.440954491807023</v>
      </c>
      <c r="W142" s="6">
        <f t="shared" si="79"/>
        <v>83.148082310626876</v>
      </c>
      <c r="X142" s="6">
        <f t="shared" si="80"/>
        <v>2.0807148402285178</v>
      </c>
      <c r="Y142" s="6">
        <f t="shared" si="81"/>
        <v>2.3573732530387383</v>
      </c>
      <c r="Z142" s="6">
        <f t="shared" si="82"/>
        <v>3.0654944451461636</v>
      </c>
      <c r="AA142" s="6">
        <f t="shared" si="83"/>
        <v>64.907380659152707</v>
      </c>
      <c r="AC142" s="14">
        <f t="shared" si="84"/>
        <v>2.255000432290271E-2</v>
      </c>
      <c r="AD142" s="17"/>
      <c r="AE142" s="15">
        <f t="shared" si="85"/>
        <v>2.9354645945706161E-2</v>
      </c>
    </row>
    <row r="143" spans="2:31" x14ac:dyDescent="0.2">
      <c r="B143" s="6">
        <f t="shared" si="61"/>
        <v>128</v>
      </c>
      <c r="C143" s="6">
        <f t="shared" si="62"/>
        <v>17.588335999524134</v>
      </c>
      <c r="D143" s="6">
        <f t="shared" si="63"/>
        <v>572.94453331747093</v>
      </c>
      <c r="E143" s="6">
        <f t="shared" si="64"/>
        <v>0.38579203436604581</v>
      </c>
      <c r="F143" s="6">
        <f t="shared" si="65"/>
        <v>0.5039827059925055</v>
      </c>
      <c r="H143" s="6">
        <f t="shared" si="66"/>
        <v>503.77412359058474</v>
      </c>
      <c r="I143" s="6">
        <f t="shared" si="67"/>
        <v>2156.7534438540106</v>
      </c>
      <c r="J143" s="6">
        <f t="shared" si="68"/>
        <v>54.397561682380328</v>
      </c>
      <c r="K143" s="6">
        <f t="shared" si="69"/>
        <v>61.695430145559236</v>
      </c>
      <c r="L143" s="6">
        <f t="shared" si="70"/>
        <v>80.462347832420917</v>
      </c>
      <c r="M143" s="6">
        <f t="shared" si="71"/>
        <v>1684.9063640310915</v>
      </c>
      <c r="O143" s="6">
        <f t="shared" si="72"/>
        <v>0.11091486428469262</v>
      </c>
      <c r="P143" s="6">
        <f t="shared" si="73"/>
        <v>0.47484776275452556</v>
      </c>
      <c r="Q143" s="6">
        <f t="shared" si="74"/>
        <v>1.1976594050556694E-2</v>
      </c>
      <c r="R143" s="6">
        <f t="shared" si="75"/>
        <v>1.3583350039514271E-2</v>
      </c>
      <c r="S143" s="6">
        <f t="shared" si="76"/>
        <v>1.7715221905906346E-2</v>
      </c>
      <c r="T143" s="6">
        <f t="shared" si="77"/>
        <v>0.37096220696480436</v>
      </c>
      <c r="V143" s="6">
        <f t="shared" si="78"/>
        <v>19.41010124982121</v>
      </c>
      <c r="W143" s="6">
        <f t="shared" si="79"/>
        <v>83.098358482041974</v>
      </c>
      <c r="X143" s="6">
        <f t="shared" si="80"/>
        <v>2.0959039588474213</v>
      </c>
      <c r="Y143" s="6">
        <f t="shared" si="81"/>
        <v>2.3770862569149975</v>
      </c>
      <c r="Z143" s="6">
        <f t="shared" si="82"/>
        <v>3.1001638335336108</v>
      </c>
      <c r="AA143" s="6">
        <f t="shared" si="83"/>
        <v>64.918386218840766</v>
      </c>
      <c r="AC143" s="14">
        <f t="shared" si="84"/>
        <v>2.1934538570134419E-2</v>
      </c>
      <c r="AD143" s="17"/>
      <c r="AE143" s="15">
        <f t="shared" si="85"/>
        <v>2.8654371056258031E-2</v>
      </c>
    </row>
    <row r="144" spans="2:31" x14ac:dyDescent="0.2">
      <c r="B144" s="6">
        <f t="shared" si="61"/>
        <v>129</v>
      </c>
      <c r="C144" s="6">
        <f t="shared" si="62"/>
        <v>18.11598607950986</v>
      </c>
      <c r="D144" s="6">
        <f t="shared" si="63"/>
        <v>590.53286931699506</v>
      </c>
      <c r="E144" s="6">
        <f t="shared" si="64"/>
        <v>0.38654744177330069</v>
      </c>
      <c r="F144" s="6">
        <f t="shared" si="65"/>
        <v>0.50649316275047163</v>
      </c>
      <c r="H144" s="6">
        <f t="shared" si="66"/>
        <v>502.88434885022622</v>
      </c>
      <c r="I144" s="6">
        <f t="shared" si="67"/>
        <v>2155.0920850449197</v>
      </c>
      <c r="J144" s="6">
        <f t="shared" si="68"/>
        <v>54.783353716746376</v>
      </c>
      <c r="K144" s="6">
        <f t="shared" si="69"/>
        <v>62.199412851551742</v>
      </c>
      <c r="L144" s="6">
        <f t="shared" si="70"/>
        <v>81.352122572779464</v>
      </c>
      <c r="M144" s="6">
        <f t="shared" si="71"/>
        <v>1684.9063640310915</v>
      </c>
      <c r="O144" s="6">
        <f t="shared" si="72"/>
        <v>0.11073777640793636</v>
      </c>
      <c r="P144" s="6">
        <f t="shared" si="73"/>
        <v>0.4745626027094646</v>
      </c>
      <c r="Q144" s="6">
        <f t="shared" si="74"/>
        <v>1.2063582389534176E-2</v>
      </c>
      <c r="R144" s="6">
        <f t="shared" si="75"/>
        <v>1.3696637584383159E-2</v>
      </c>
      <c r="S144" s="6">
        <f t="shared" si="76"/>
        <v>1.7914164917585369E-2</v>
      </c>
      <c r="T144" s="6">
        <f t="shared" si="77"/>
        <v>0.37102523599109644</v>
      </c>
      <c r="V144" s="6">
        <f t="shared" si="78"/>
        <v>19.379110871388864</v>
      </c>
      <c r="W144" s="6">
        <f t="shared" si="79"/>
        <v>83.048455474156299</v>
      </c>
      <c r="X144" s="6">
        <f t="shared" si="80"/>
        <v>2.1111269181684809</v>
      </c>
      <c r="Y144" s="6">
        <f t="shared" si="81"/>
        <v>2.3969115772670531</v>
      </c>
      <c r="Z144" s="6">
        <f t="shared" si="82"/>
        <v>3.1349788605774394</v>
      </c>
      <c r="AA144" s="6">
        <f t="shared" si="83"/>
        <v>64.929416298441879</v>
      </c>
      <c r="AC144" s="14">
        <f t="shared" si="84"/>
        <v>2.133736690218074E-2</v>
      </c>
      <c r="AD144" s="17"/>
      <c r="AE144" s="15">
        <f t="shared" si="85"/>
        <v>2.7958354600600085E-2</v>
      </c>
    </row>
    <row r="145" spans="2:31" x14ac:dyDescent="0.2">
      <c r="B145" s="6">
        <f t="shared" si="61"/>
        <v>130</v>
      </c>
      <c r="C145" s="6">
        <f t="shared" si="62"/>
        <v>18.659465661895155</v>
      </c>
      <c r="D145" s="6">
        <f t="shared" si="63"/>
        <v>608.64885539650493</v>
      </c>
      <c r="E145" s="6">
        <f t="shared" si="64"/>
        <v>0.38733316791203687</v>
      </c>
      <c r="F145" s="6">
        <f t="shared" si="65"/>
        <v>0.5087815310061401</v>
      </c>
      <c r="H145" s="6">
        <f t="shared" si="66"/>
        <v>501.99130824570244</v>
      </c>
      <c r="I145" s="6">
        <f t="shared" si="67"/>
        <v>2153.4259495568494</v>
      </c>
      <c r="J145" s="6">
        <f t="shared" si="68"/>
        <v>55.169901158519679</v>
      </c>
      <c r="K145" s="6">
        <f t="shared" si="69"/>
        <v>62.705906014302215</v>
      </c>
      <c r="L145" s="6">
        <f t="shared" si="70"/>
        <v>82.24516317730324</v>
      </c>
      <c r="M145" s="6">
        <f t="shared" si="71"/>
        <v>1684.9063640310915</v>
      </c>
      <c r="O145" s="6">
        <f t="shared" si="72"/>
        <v>0.11055994584976646</v>
      </c>
      <c r="P145" s="6">
        <f t="shared" si="73"/>
        <v>0.47427645153161957</v>
      </c>
      <c r="Q145" s="6">
        <f t="shared" si="74"/>
        <v>1.2150770709435132E-2</v>
      </c>
      <c r="R145" s="6">
        <f t="shared" si="75"/>
        <v>1.3810521137566228E-2</v>
      </c>
      <c r="S145" s="6">
        <f t="shared" si="76"/>
        <v>1.811390085430966E-2</v>
      </c>
      <c r="T145" s="6">
        <f t="shared" si="77"/>
        <v>0.37108840991730291</v>
      </c>
      <c r="V145" s="6">
        <f t="shared" si="78"/>
        <v>19.347990523709129</v>
      </c>
      <c r="W145" s="6">
        <f t="shared" si="79"/>
        <v>82.998379018033418</v>
      </c>
      <c r="X145" s="6">
        <f t="shared" si="80"/>
        <v>2.1263848741511482</v>
      </c>
      <c r="Y145" s="6">
        <f t="shared" si="81"/>
        <v>2.4168411990740899</v>
      </c>
      <c r="Z145" s="6">
        <f t="shared" si="82"/>
        <v>3.1699326495041906</v>
      </c>
      <c r="AA145" s="6">
        <f t="shared" si="83"/>
        <v>64.940471735528007</v>
      </c>
      <c r="AC145" s="14">
        <f t="shared" si="84"/>
        <v>2.0757998912209859E-2</v>
      </c>
      <c r="AD145" s="17"/>
      <c r="AE145" s="15">
        <f t="shared" si="85"/>
        <v>2.7266672059379084E-2</v>
      </c>
    </row>
    <row r="146" spans="2:31" x14ac:dyDescent="0.2">
      <c r="B146" s="6">
        <f t="shared" ref="B146:B209" si="86">B145+1</f>
        <v>131</v>
      </c>
      <c r="C146" s="6">
        <f t="shared" si="62"/>
        <v>19.21924963175201</v>
      </c>
      <c r="D146" s="6">
        <f t="shared" si="63"/>
        <v>627.30832105840011</v>
      </c>
      <c r="E146" s="6">
        <f t="shared" si="64"/>
        <v>0.38815113327943396</v>
      </c>
      <c r="F146" s="6">
        <f t="shared" si="65"/>
        <v>0.51083621073960905</v>
      </c>
      <c r="H146" s="6">
        <f t="shared" si="66"/>
        <v>501.09519354678423</v>
      </c>
      <c r="I146" s="6">
        <f t="shared" si="67"/>
        <v>2151.7551685221069</v>
      </c>
      <c r="J146" s="6">
        <f t="shared" si="68"/>
        <v>55.557234326431718</v>
      </c>
      <c r="K146" s="6">
        <f t="shared" si="69"/>
        <v>63.214687545308358</v>
      </c>
      <c r="L146" s="6">
        <f t="shared" si="70"/>
        <v>83.141277876221409</v>
      </c>
      <c r="M146" s="6">
        <f t="shared" si="71"/>
        <v>1684.9063640310915</v>
      </c>
      <c r="O146" s="6">
        <f t="shared" si="72"/>
        <v>0.11038141577070429</v>
      </c>
      <c r="P146" s="6">
        <f t="shared" si="73"/>
        <v>0.47398934364598999</v>
      </c>
      <c r="Q146" s="6">
        <f t="shared" si="74"/>
        <v>1.2238166041566214E-2</v>
      </c>
      <c r="R146" s="6">
        <f t="shared" si="75"/>
        <v>1.3924952381532624E-2</v>
      </c>
      <c r="S146" s="6">
        <f t="shared" si="76"/>
        <v>1.831438832211834E-2</v>
      </c>
      <c r="T146" s="6">
        <f t="shared" si="77"/>
        <v>0.37115173383808858</v>
      </c>
      <c r="V146" s="6">
        <f t="shared" si="78"/>
        <v>19.316747759873252</v>
      </c>
      <c r="W146" s="6">
        <f t="shared" si="79"/>
        <v>82.948135138048244</v>
      </c>
      <c r="X146" s="6">
        <f t="shared" si="80"/>
        <v>2.1416790572740876</v>
      </c>
      <c r="Y146" s="6">
        <f t="shared" si="81"/>
        <v>2.4368666667682093</v>
      </c>
      <c r="Z146" s="6">
        <f t="shared" si="82"/>
        <v>3.2050179563707095</v>
      </c>
      <c r="AA146" s="6">
        <f t="shared" si="83"/>
        <v>64.951553421665508</v>
      </c>
      <c r="AC146" s="14">
        <f t="shared" si="84"/>
        <v>2.0195956695321326E-2</v>
      </c>
      <c r="AD146" s="17"/>
      <c r="AE146" s="15">
        <f t="shared" si="85"/>
        <v>2.6579404530739825E-2</v>
      </c>
    </row>
    <row r="147" spans="2:31" x14ac:dyDescent="0.2">
      <c r="B147" s="6">
        <f t="shared" si="86"/>
        <v>132</v>
      </c>
      <c r="C147" s="6">
        <f t="shared" si="62"/>
        <v>19.795827120704573</v>
      </c>
      <c r="D147" s="6">
        <f t="shared" si="63"/>
        <v>646.52757069015217</v>
      </c>
      <c r="E147" s="6">
        <f t="shared" si="64"/>
        <v>0.38900333487639777</v>
      </c>
      <c r="F147" s="6">
        <f t="shared" si="65"/>
        <v>0.51264538464465648</v>
      </c>
      <c r="H147" s="6">
        <f t="shared" si="66"/>
        <v>500.19620620276515</v>
      </c>
      <c r="I147" s="6">
        <f t="shared" si="67"/>
        <v>2150.0798789115292</v>
      </c>
      <c r="J147" s="6">
        <f t="shared" si="68"/>
        <v>55.945385459711154</v>
      </c>
      <c r="K147" s="6">
        <f t="shared" si="69"/>
        <v>63.72552375604797</v>
      </c>
      <c r="L147" s="6">
        <f t="shared" si="70"/>
        <v>84.040265220240457</v>
      </c>
      <c r="M147" s="6">
        <f t="shared" si="71"/>
        <v>1684.9063640310915</v>
      </c>
      <c r="O147" s="6">
        <f t="shared" si="72"/>
        <v>0.11020223157556368</v>
      </c>
      <c r="P147" s="6">
        <f t="shared" si="73"/>
        <v>0.47370131517094738</v>
      </c>
      <c r="Q147" s="6">
        <f t="shared" si="74"/>
        <v>1.2325775860675008E-2</v>
      </c>
      <c r="R147" s="6">
        <f t="shared" si="75"/>
        <v>1.4039880429223576E-2</v>
      </c>
      <c r="S147" s="6">
        <f t="shared" si="76"/>
        <v>1.851558379416899E-2</v>
      </c>
      <c r="T147" s="6">
        <f t="shared" si="77"/>
        <v>0.37121521316942141</v>
      </c>
      <c r="V147" s="6">
        <f t="shared" si="78"/>
        <v>19.285390525723642</v>
      </c>
      <c r="W147" s="6">
        <f t="shared" si="79"/>
        <v>82.897730154915791</v>
      </c>
      <c r="X147" s="6">
        <f t="shared" si="80"/>
        <v>2.1570107756181263</v>
      </c>
      <c r="Y147" s="6">
        <f t="shared" si="81"/>
        <v>2.4569790751141261</v>
      </c>
      <c r="Z147" s="6">
        <f t="shared" si="82"/>
        <v>3.240227163979573</v>
      </c>
      <c r="AA147" s="6">
        <f t="shared" si="83"/>
        <v>64.962662304648745</v>
      </c>
      <c r="AC147" s="14">
        <f t="shared" si="84"/>
        <v>1.9650774504366978E-2</v>
      </c>
      <c r="AD147" s="17"/>
      <c r="AE147" s="15">
        <f t="shared" si="85"/>
        <v>2.5896638797601824E-2</v>
      </c>
    </row>
    <row r="148" spans="2:31" x14ac:dyDescent="0.2">
      <c r="B148" s="6">
        <f t="shared" si="86"/>
        <v>133</v>
      </c>
      <c r="C148" s="6">
        <f t="shared" si="62"/>
        <v>20.389701934325711</v>
      </c>
      <c r="D148" s="6">
        <f t="shared" si="63"/>
        <v>666.3233978108567</v>
      </c>
      <c r="E148" s="6">
        <f t="shared" si="64"/>
        <v>0.38989184811905558</v>
      </c>
      <c r="F148" s="6">
        <f t="shared" si="65"/>
        <v>0.51419703328339372</v>
      </c>
      <c r="H148" s="6">
        <f t="shared" si="66"/>
        <v>499.29455748324409</v>
      </c>
      <c r="I148" s="6">
        <f t="shared" si="67"/>
        <v>2148.4002235222556</v>
      </c>
      <c r="J148" s="6">
        <f t="shared" si="68"/>
        <v>56.334388794587554</v>
      </c>
      <c r="K148" s="6">
        <f t="shared" si="69"/>
        <v>64.238169140692619</v>
      </c>
      <c r="L148" s="6">
        <f t="shared" si="70"/>
        <v>84.941913939761506</v>
      </c>
      <c r="M148" s="6">
        <f t="shared" si="71"/>
        <v>1684.9063640310915</v>
      </c>
      <c r="O148" s="6">
        <f t="shared" si="72"/>
        <v>0.1100224409494075</v>
      </c>
      <c r="P148" s="6">
        <f t="shared" si="73"/>
        <v>0.47341240393172856</v>
      </c>
      <c r="Q148" s="6">
        <f t="shared" si="74"/>
        <v>1.2413608103031392E-2</v>
      </c>
      <c r="R148" s="6">
        <f t="shared" si="75"/>
        <v>1.4155251774834515E-2</v>
      </c>
      <c r="S148" s="6">
        <f t="shared" si="76"/>
        <v>1.8717441579324028E-2</v>
      </c>
      <c r="T148" s="6">
        <f t="shared" si="77"/>
        <v>0.37127885366167396</v>
      </c>
      <c r="V148" s="6">
        <f t="shared" si="78"/>
        <v>19.253927166146312</v>
      </c>
      <c r="W148" s="6">
        <f t="shared" si="79"/>
        <v>82.847170688052501</v>
      </c>
      <c r="X148" s="6">
        <f t="shared" si="80"/>
        <v>2.1723814180304934</v>
      </c>
      <c r="Y148" s="6">
        <f t="shared" si="81"/>
        <v>2.4771690605960401</v>
      </c>
      <c r="Z148" s="6">
        <f t="shared" si="82"/>
        <v>3.2755522763817049</v>
      </c>
      <c r="AA148" s="6">
        <f t="shared" si="83"/>
        <v>64.973799390792948</v>
      </c>
      <c r="AC148" s="14">
        <f t="shared" si="84"/>
        <v>1.9121998417381443E-2</v>
      </c>
      <c r="AD148" s="17"/>
      <c r="AE148" s="15">
        <f t="shared" si="85"/>
        <v>2.521846738807652E-2</v>
      </c>
    </row>
    <row r="149" spans="2:31" x14ac:dyDescent="0.2">
      <c r="B149" s="6">
        <f t="shared" si="86"/>
        <v>134</v>
      </c>
      <c r="C149" s="6">
        <f t="shared" si="62"/>
        <v>21.001392992355484</v>
      </c>
      <c r="D149" s="6">
        <f t="shared" si="63"/>
        <v>686.71309974518238</v>
      </c>
      <c r="E149" s="6">
        <f t="shared" si="64"/>
        <v>0.39081882879099533</v>
      </c>
      <c r="F149" s="6">
        <f t="shared" si="65"/>
        <v>0.51547895217043005</v>
      </c>
      <c r="H149" s="6">
        <f t="shared" si="66"/>
        <v>498.39046860184163</v>
      </c>
      <c r="I149" s="6">
        <f t="shared" si="67"/>
        <v>2146.716350944615</v>
      </c>
      <c r="J149" s="6">
        <f t="shared" si="68"/>
        <v>56.72428064270661</v>
      </c>
      <c r="K149" s="6">
        <f t="shared" si="69"/>
        <v>64.752366173976014</v>
      </c>
      <c r="L149" s="6">
        <f t="shared" si="70"/>
        <v>85.84600282116395</v>
      </c>
      <c r="M149" s="6">
        <f t="shared" si="71"/>
        <v>1684.9063640310915</v>
      </c>
      <c r="O149" s="6">
        <f t="shared" si="72"/>
        <v>0.1098420938898534</v>
      </c>
      <c r="P149" s="6">
        <f t="shared" si="73"/>
        <v>0.47312264946968646</v>
      </c>
      <c r="Q149" s="6">
        <f t="shared" si="74"/>
        <v>1.2501671184984516E-2</v>
      </c>
      <c r="R149" s="6">
        <f t="shared" si="75"/>
        <v>1.4271010247898949E-2</v>
      </c>
      <c r="S149" s="6">
        <f t="shared" si="76"/>
        <v>1.8919913794507241E-2</v>
      </c>
      <c r="T149" s="6">
        <f t="shared" si="77"/>
        <v>0.37134266141306937</v>
      </c>
      <c r="V149" s="6">
        <f t="shared" si="78"/>
        <v>19.222366430724346</v>
      </c>
      <c r="W149" s="6">
        <f t="shared" si="79"/>
        <v>82.796463657195133</v>
      </c>
      <c r="X149" s="6">
        <f t="shared" si="80"/>
        <v>2.1877924573722902</v>
      </c>
      <c r="Y149" s="6">
        <f t="shared" si="81"/>
        <v>2.4974267933823162</v>
      </c>
      <c r="Z149" s="6">
        <f t="shared" si="82"/>
        <v>3.3109849140387673</v>
      </c>
      <c r="AA149" s="6">
        <f t="shared" si="83"/>
        <v>64.984965747287134</v>
      </c>
      <c r="AC149" s="14">
        <f t="shared" si="84"/>
        <v>1.860918601605396E-2</v>
      </c>
      <c r="AD149" s="17"/>
      <c r="AE149" s="15">
        <f t="shared" si="85"/>
        <v>2.4544988628043132E-2</v>
      </c>
    </row>
    <row r="150" spans="2:31" x14ac:dyDescent="0.2">
      <c r="B150" s="6">
        <f t="shared" si="86"/>
        <v>135</v>
      </c>
      <c r="C150" s="6">
        <f t="shared" si="62"/>
        <v>21.631434782126149</v>
      </c>
      <c r="D150" s="6">
        <f t="shared" si="63"/>
        <v>707.71449273753785</v>
      </c>
      <c r="E150" s="6">
        <f t="shared" si="64"/>
        <v>0.39178651503477019</v>
      </c>
      <c r="F150" s="6">
        <f t="shared" si="65"/>
        <v>0.51647877089129224</v>
      </c>
      <c r="H150" s="6">
        <f t="shared" si="66"/>
        <v>497.48417082088019</v>
      </c>
      <c r="I150" s="6">
        <f t="shared" si="67"/>
        <v>2145.0284155060717</v>
      </c>
      <c r="J150" s="6">
        <f t="shared" si="68"/>
        <v>57.115099471497608</v>
      </c>
      <c r="K150" s="6">
        <f t="shared" si="69"/>
        <v>65.26784512614644</v>
      </c>
      <c r="L150" s="6">
        <f t="shared" si="70"/>
        <v>86.752300602125374</v>
      </c>
      <c r="M150" s="6">
        <f t="shared" si="71"/>
        <v>1684.9063640310915</v>
      </c>
      <c r="O150" s="6">
        <f t="shared" si="72"/>
        <v>0.10966124273529369</v>
      </c>
      <c r="P150" s="6">
        <f t="shared" si="73"/>
        <v>0.47283209304685059</v>
      </c>
      <c r="Q150" s="6">
        <f t="shared" si="74"/>
        <v>1.2589974022006536E-2</v>
      </c>
      <c r="R150" s="6">
        <f t="shared" si="75"/>
        <v>1.4387096971101245E-2</v>
      </c>
      <c r="S150" s="6">
        <f t="shared" si="76"/>
        <v>1.9122950341268517E-2</v>
      </c>
      <c r="T150" s="6">
        <f t="shared" si="77"/>
        <v>0.37140664288347963</v>
      </c>
      <c r="V150" s="6">
        <f t="shared" si="78"/>
        <v>19.190717478676397</v>
      </c>
      <c r="W150" s="6">
        <f t="shared" si="79"/>
        <v>82.745616283198856</v>
      </c>
      <c r="X150" s="6">
        <f t="shared" si="80"/>
        <v>2.2032454538511437</v>
      </c>
      <c r="Y150" s="6">
        <f t="shared" si="81"/>
        <v>2.5177419699427177</v>
      </c>
      <c r="Z150" s="6">
        <f t="shared" si="82"/>
        <v>3.3465163097219905</v>
      </c>
      <c r="AA150" s="6">
        <f t="shared" si="83"/>
        <v>64.996162504608932</v>
      </c>
      <c r="AC150" s="14">
        <f t="shared" si="84"/>
        <v>1.8111906074695504E-2</v>
      </c>
      <c r="AD150" s="17"/>
      <c r="AE150" s="15">
        <f t="shared" si="85"/>
        <v>2.3876306684846159E-2</v>
      </c>
    </row>
    <row r="151" spans="2:31" x14ac:dyDescent="0.2">
      <c r="B151" s="6">
        <f t="shared" si="86"/>
        <v>136</v>
      </c>
      <c r="C151" s="6">
        <f t="shared" si="62"/>
        <v>22.280377825589934</v>
      </c>
      <c r="D151" s="6">
        <f t="shared" si="63"/>
        <v>729.34592751966397</v>
      </c>
      <c r="E151" s="6">
        <f t="shared" si="64"/>
        <v>0.39279722938068989</v>
      </c>
      <c r="F151" s="6">
        <f t="shared" si="65"/>
        <v>0.51718397435916907</v>
      </c>
      <c r="H151" s="6">
        <f t="shared" si="66"/>
        <v>496.57590553495413</v>
      </c>
      <c r="I151" s="6">
        <f t="shared" si="67"/>
        <v>2143.3365771900762</v>
      </c>
      <c r="J151" s="6">
        <f t="shared" si="68"/>
        <v>57.506885986532382</v>
      </c>
      <c r="K151" s="6">
        <f t="shared" si="69"/>
        <v>65.784323897037737</v>
      </c>
      <c r="L151" s="6">
        <f t="shared" si="70"/>
        <v>87.660565888051437</v>
      </c>
      <c r="M151" s="6">
        <f t="shared" si="71"/>
        <v>1684.9063640310915</v>
      </c>
      <c r="O151" s="6">
        <f t="shared" si="72"/>
        <v>0.10947994218857057</v>
      </c>
      <c r="P151" s="6">
        <f t="shared" si="73"/>
        <v>0.47254077764532421</v>
      </c>
      <c r="Q151" s="6">
        <f t="shared" si="74"/>
        <v>1.2678526048233964E-2</v>
      </c>
      <c r="R151" s="6">
        <f t="shared" si="75"/>
        <v>1.4503450322268885E-2</v>
      </c>
      <c r="S151" s="6">
        <f t="shared" si="76"/>
        <v>1.9326498887018016E-2</v>
      </c>
      <c r="T151" s="6">
        <f t="shared" si="77"/>
        <v>0.37147080490858431</v>
      </c>
      <c r="V151" s="6">
        <f t="shared" si="78"/>
        <v>19.158989882999851</v>
      </c>
      <c r="W151" s="6">
        <f t="shared" si="79"/>
        <v>82.694636087931741</v>
      </c>
      <c r="X151" s="6">
        <f t="shared" si="80"/>
        <v>2.2187420584409439</v>
      </c>
      <c r="Y151" s="6">
        <f t="shared" si="81"/>
        <v>2.5381038063970549</v>
      </c>
      <c r="Z151" s="6">
        <f t="shared" si="82"/>
        <v>3.3821373052281527</v>
      </c>
      <c r="AA151" s="6">
        <f t="shared" si="83"/>
        <v>65.007390859002257</v>
      </c>
      <c r="AC151" s="14">
        <f t="shared" si="84"/>
        <v>1.7629738259175572E-2</v>
      </c>
      <c r="AD151" s="17"/>
      <c r="AE151" s="15">
        <f t="shared" si="85"/>
        <v>2.3212531601019888E-2</v>
      </c>
    </row>
    <row r="152" spans="2:31" x14ac:dyDescent="0.2">
      <c r="B152" s="6">
        <f t="shared" si="86"/>
        <v>137</v>
      </c>
      <c r="C152" s="6">
        <f t="shared" ref="C152:C215" si="87">C151*C$13</f>
        <v>22.948789160357631</v>
      </c>
      <c r="D152" s="6">
        <f t="shared" ref="D152:D215" si="88">D151+C151</f>
        <v>751.62630534525385</v>
      </c>
      <c r="E152" s="6">
        <f t="shared" ref="E152:E215" si="89">AC152*C152</f>
        <v>0.39385338081033977</v>
      </c>
      <c r="F152" s="6">
        <f t="shared" ref="F152:F215" si="90">AE152*C152</f>
        <v>0.51758192631253042</v>
      </c>
      <c r="H152" s="6">
        <f t="shared" ref="H152:H215" si="91">H151-E151-F151</f>
        <v>495.66592433121428</v>
      </c>
      <c r="I152" s="6">
        <f t="shared" ref="I152:I215" si="92">I151-3*E151-F151</f>
        <v>2141.6410015275746</v>
      </c>
      <c r="J152" s="6">
        <f t="shared" ref="J152:J215" si="93">J151+E151</f>
        <v>57.899683215913072</v>
      </c>
      <c r="K152" s="6">
        <f t="shared" ref="K152:K215" si="94">K151+F151</f>
        <v>66.301507871396907</v>
      </c>
      <c r="L152" s="6">
        <f t="shared" ref="L152:L215" si="95">L151+E151+F151</f>
        <v>88.570547091791298</v>
      </c>
      <c r="M152" s="6">
        <f t="shared" ref="M152:M215" si="96">M151</f>
        <v>1684.9063640310915</v>
      </c>
      <c r="O152" s="6">
        <f t="shared" ref="O152:O215" si="97">H152/SUM($H152:$M152)</f>
        <v>0.10929824933562594</v>
      </c>
      <c r="P152" s="6">
        <f t="shared" ref="P152:P215" si="98">I152/SUM($H152:$M152)</f>
        <v>0.47224874796102584</v>
      </c>
      <c r="Q152" s="6">
        <f t="shared" ref="Q152:Q215" si="99">J152/SUM($H152:$M152)</f>
        <v>1.276733723651719E-2</v>
      </c>
      <c r="R152" s="6">
        <f t="shared" ref="R152:R215" si="100">K152/SUM($H152:$M152)</f>
        <v>1.4620005901018022E-2</v>
      </c>
      <c r="S152" s="6">
        <f t="shared" ref="S152:S215" si="101">L152/SUM($H152:$M152)</f>
        <v>1.9530504851414041E-2</v>
      </c>
      <c r="T152" s="6">
        <f t="shared" ref="T152:T215" si="102">M152/SUM($H152:$M152)</f>
        <v>0.3715351547143988</v>
      </c>
      <c r="V152" s="6">
        <f t="shared" ref="V152:V215" si="103">O152*$G$8</f>
        <v>19.127193633734539</v>
      </c>
      <c r="W152" s="6">
        <f t="shared" ref="W152:W215" si="104">P152*$G$8</f>
        <v>82.643530893179516</v>
      </c>
      <c r="X152" s="6">
        <f t="shared" ref="X152:X215" si="105">Q152*$G$8</f>
        <v>2.2342840163905082</v>
      </c>
      <c r="Y152" s="6">
        <f t="shared" ref="Y152:Y215" si="106">R152*$G$8</f>
        <v>2.5585010326781541</v>
      </c>
      <c r="Z152" s="6">
        <f t="shared" ref="Z152:Z215" si="107">S152*$G$8</f>
        <v>3.4178383489974573</v>
      </c>
      <c r="AA152" s="6">
        <f t="shared" ref="AA152:AA215" si="108">T152*$G$8</f>
        <v>65.018652075019787</v>
      </c>
      <c r="AC152" s="14">
        <f t="shared" ref="AC152:AC215" si="109">$M$9*V152*W152*(1-(1/$I$9)*(Z152*X152/(W152^3*V152)))/(1+$O$9*Z152/W152+$Q$9*W152^0.5+$S$9*Z152)^3</f>
        <v>1.7162272835322089E-2</v>
      </c>
      <c r="AD152" s="17"/>
      <c r="AE152" s="15">
        <f t="shared" ref="AE152:AE215" si="110" xml:space="preserve"> $U$9*V152*(1-$K$9*Z152*Y152/(V152*W152))/(1+$O$9*Z152/W152+$Q$9*W152^0.5+$S$9*Z152)</f>
        <v>2.2553779316889434E-2</v>
      </c>
    </row>
    <row r="153" spans="2:31" x14ac:dyDescent="0.2">
      <c r="B153" s="6">
        <f t="shared" si="86"/>
        <v>138</v>
      </c>
      <c r="C153" s="6">
        <f t="shared" si="87"/>
        <v>23.637252835168361</v>
      </c>
      <c r="D153" s="6">
        <f t="shared" si="88"/>
        <v>774.57509450561145</v>
      </c>
      <c r="E153" s="6">
        <f t="shared" si="89"/>
        <v>0.39495746685160998</v>
      </c>
      <c r="F153" s="6">
        <f t="shared" si="90"/>
        <v>0.51765989515362565</v>
      </c>
      <c r="H153" s="6">
        <f t="shared" si="91"/>
        <v>494.75448902409141</v>
      </c>
      <c r="I153" s="6">
        <f t="shared" si="92"/>
        <v>2139.941859458831</v>
      </c>
      <c r="J153" s="6">
        <f t="shared" si="93"/>
        <v>58.293536596723413</v>
      </c>
      <c r="K153" s="6">
        <f t="shared" si="94"/>
        <v>66.819089797709438</v>
      </c>
      <c r="L153" s="6">
        <f t="shared" si="95"/>
        <v>89.48198239891417</v>
      </c>
      <c r="M153" s="6">
        <f t="shared" si="96"/>
        <v>1684.9063640310915</v>
      </c>
      <c r="O153" s="6">
        <f t="shared" si="97"/>
        <v>0.10911622365862039</v>
      </c>
      <c r="P153" s="6">
        <f t="shared" si="98"/>
        <v>0.47195605039125521</v>
      </c>
      <c r="Q153" s="6">
        <f t="shared" si="99"/>
        <v>1.2856418118988133E-2</v>
      </c>
      <c r="R153" s="6">
        <f t="shared" si="100"/>
        <v>1.4736696500549134E-2</v>
      </c>
      <c r="S153" s="6">
        <f t="shared" si="101"/>
        <v>1.9734911398411201E-2</v>
      </c>
      <c r="T153" s="6">
        <f t="shared" si="102"/>
        <v>0.37159969993217601</v>
      </c>
      <c r="V153" s="6">
        <f t="shared" si="103"/>
        <v>19.09533914025857</v>
      </c>
      <c r="W153" s="6">
        <f t="shared" si="104"/>
        <v>82.592308818469661</v>
      </c>
      <c r="X153" s="6">
        <f t="shared" si="105"/>
        <v>2.2498731708229234</v>
      </c>
      <c r="Y153" s="6">
        <f t="shared" si="106"/>
        <v>2.5789218875960986</v>
      </c>
      <c r="Z153" s="6">
        <f t="shared" si="107"/>
        <v>3.45360949472196</v>
      </c>
      <c r="AA153" s="6">
        <f t="shared" si="108"/>
        <v>65.029947488130802</v>
      </c>
      <c r="AC153" s="14">
        <f t="shared" si="109"/>
        <v>1.6709110386295734E-2</v>
      </c>
      <c r="AD153" s="17"/>
      <c r="AE153" s="15">
        <f t="shared" si="110"/>
        <v>2.1900171680840699E-2</v>
      </c>
    </row>
    <row r="154" spans="2:31" x14ac:dyDescent="0.2">
      <c r="B154" s="6">
        <f t="shared" si="86"/>
        <v>139</v>
      </c>
      <c r="C154" s="6">
        <f t="shared" si="87"/>
        <v>24.346370420223412</v>
      </c>
      <c r="D154" s="6">
        <f t="shared" si="88"/>
        <v>798.21234734077984</v>
      </c>
      <c r="E154" s="6">
        <f t="shared" si="89"/>
        <v>0.39611207570125206</v>
      </c>
      <c r="F154" s="6">
        <f t="shared" si="90"/>
        <v>0.5174050822242483</v>
      </c>
      <c r="H154" s="6">
        <f t="shared" si="91"/>
        <v>493.84187166208619</v>
      </c>
      <c r="I154" s="6">
        <f t="shared" si="92"/>
        <v>2138.2393271631227</v>
      </c>
      <c r="J154" s="6">
        <f t="shared" si="93"/>
        <v>58.688494063575021</v>
      </c>
      <c r="K154" s="6">
        <f t="shared" si="94"/>
        <v>67.336749692863066</v>
      </c>
      <c r="L154" s="6">
        <f t="shared" si="95"/>
        <v>90.394599760919405</v>
      </c>
      <c r="M154" s="6">
        <f t="shared" si="96"/>
        <v>1684.9063640310915</v>
      </c>
      <c r="O154" s="6">
        <f t="shared" si="97"/>
        <v>0.10893392704299609</v>
      </c>
      <c r="P154" s="6">
        <f t="shared" si="98"/>
        <v>0.47166273301554712</v>
      </c>
      <c r="Q154" s="6">
        <f t="shared" si="99"/>
        <v>1.2945779808155571E-2</v>
      </c>
      <c r="R154" s="6">
        <f t="shared" si="100"/>
        <v>1.4853452085112016E-2</v>
      </c>
      <c r="S154" s="6">
        <f t="shared" si="101"/>
        <v>1.9939659434497513E-2</v>
      </c>
      <c r="T154" s="6">
        <f t="shared" si="102"/>
        <v>0.37166444861369163</v>
      </c>
      <c r="V154" s="6">
        <f t="shared" si="103"/>
        <v>19.063437232524315</v>
      </c>
      <c r="W154" s="6">
        <f t="shared" si="104"/>
        <v>82.54097827772074</v>
      </c>
      <c r="X154" s="6">
        <f t="shared" si="105"/>
        <v>2.2655114664272249</v>
      </c>
      <c r="Y154" s="6">
        <f t="shared" si="106"/>
        <v>2.5993541148946027</v>
      </c>
      <c r="Z154" s="6">
        <f t="shared" si="107"/>
        <v>3.4894404010370645</v>
      </c>
      <c r="AA154" s="6">
        <f t="shared" si="108"/>
        <v>65.041278507396029</v>
      </c>
      <c r="AC154" s="14">
        <f t="shared" si="109"/>
        <v>1.6269861538466528E-2</v>
      </c>
      <c r="AD154" s="17"/>
      <c r="AE154" s="15">
        <f t="shared" si="110"/>
        <v>2.1251836445997044E-2</v>
      </c>
    </row>
    <row r="155" spans="2:31" x14ac:dyDescent="0.2">
      <c r="B155" s="6">
        <f t="shared" si="86"/>
        <v>140</v>
      </c>
      <c r="C155" s="6">
        <f t="shared" si="87"/>
        <v>25.076761532830115</v>
      </c>
      <c r="D155" s="6">
        <f t="shared" si="88"/>
        <v>822.55871776100321</v>
      </c>
      <c r="E155" s="6">
        <f t="shared" si="89"/>
        <v>0.3973198883701386</v>
      </c>
      <c r="F155" s="6">
        <f t="shared" si="90"/>
        <v>0.51680465261028186</v>
      </c>
      <c r="H155" s="6">
        <f t="shared" si="91"/>
        <v>492.92835450416072</v>
      </c>
      <c r="I155" s="6">
        <f t="shared" si="92"/>
        <v>2136.5335858537946</v>
      </c>
      <c r="J155" s="6">
        <f t="shared" si="93"/>
        <v>59.084606139276275</v>
      </c>
      <c r="K155" s="6">
        <f t="shared" si="94"/>
        <v>67.854154775087309</v>
      </c>
      <c r="L155" s="6">
        <f t="shared" si="95"/>
        <v>91.308116918844902</v>
      </c>
      <c r="M155" s="6">
        <f t="shared" si="96"/>
        <v>1684.9063640310915</v>
      </c>
      <c r="O155" s="6">
        <f t="shared" si="97"/>
        <v>0.10875142377793635</v>
      </c>
      <c r="P155" s="6">
        <f t="shared" si="98"/>
        <v>0.47136884556925757</v>
      </c>
      <c r="Q155" s="6">
        <f t="shared" si="99"/>
        <v>1.303543401853678E-2</v>
      </c>
      <c r="R155" s="6">
        <f t="shared" si="100"/>
        <v>1.497019977368114E-2</v>
      </c>
      <c r="S155" s="6">
        <f t="shared" si="101"/>
        <v>2.0144687613669922E-2</v>
      </c>
      <c r="T155" s="6">
        <f t="shared" si="102"/>
        <v>0.37172940924691816</v>
      </c>
      <c r="V155" s="6">
        <f t="shared" si="103"/>
        <v>19.031499161138861</v>
      </c>
      <c r="W155" s="6">
        <f t="shared" si="104"/>
        <v>82.489547974620081</v>
      </c>
      <c r="X155" s="6">
        <f t="shared" si="105"/>
        <v>2.2812009532439363</v>
      </c>
      <c r="Y155" s="6">
        <f t="shared" si="106"/>
        <v>2.6197849603941994</v>
      </c>
      <c r="Z155" s="6">
        <f t="shared" si="107"/>
        <v>3.5253203323922362</v>
      </c>
      <c r="AA155" s="6">
        <f t="shared" si="108"/>
        <v>65.052646618210673</v>
      </c>
      <c r="AC155" s="14">
        <f t="shared" si="109"/>
        <v>1.5844146695336774E-2</v>
      </c>
      <c r="AD155" s="17"/>
      <c r="AE155" s="15">
        <f t="shared" si="110"/>
        <v>2.0608907251986625E-2</v>
      </c>
    </row>
    <row r="156" spans="2:31" x14ac:dyDescent="0.2">
      <c r="B156" s="6">
        <f t="shared" si="86"/>
        <v>141</v>
      </c>
      <c r="C156" s="6">
        <f t="shared" si="87"/>
        <v>25.829064378815019</v>
      </c>
      <c r="D156" s="6">
        <f t="shared" si="88"/>
        <v>847.63547929383333</v>
      </c>
      <c r="E156" s="6">
        <f t="shared" si="89"/>
        <v>0.39858368084539769</v>
      </c>
      <c r="F156" s="6">
        <f t="shared" si="90"/>
        <v>0.51584576856029762</v>
      </c>
      <c r="H156" s="6">
        <f t="shared" si="91"/>
        <v>492.0142299631803</v>
      </c>
      <c r="I156" s="6">
        <f t="shared" si="92"/>
        <v>2134.8248215360741</v>
      </c>
      <c r="J156" s="6">
        <f t="shared" si="93"/>
        <v>59.481926027646416</v>
      </c>
      <c r="K156" s="6">
        <f t="shared" si="94"/>
        <v>68.370959427697585</v>
      </c>
      <c r="L156" s="6">
        <f t="shared" si="95"/>
        <v>92.222241459825312</v>
      </c>
      <c r="M156" s="6">
        <f t="shared" si="96"/>
        <v>1684.9063640310915</v>
      </c>
      <c r="O156" s="6">
        <f t="shared" si="97"/>
        <v>0.10856878054965383</v>
      </c>
      <c r="P156" s="6">
        <f t="shared" si="98"/>
        <v>0.47107443940930066</v>
      </c>
      <c r="Q156" s="6">
        <f t="shared" si="99"/>
        <v>1.312539308883314E-2</v>
      </c>
      <c r="R156" s="6">
        <f t="shared" si="100"/>
        <v>1.5086863830402787E-2</v>
      </c>
      <c r="S156" s="6">
        <f t="shared" si="101"/>
        <v>2.0349932349717281E-2</v>
      </c>
      <c r="T156" s="6">
        <f t="shared" si="102"/>
        <v>0.37179459077209226</v>
      </c>
      <c r="V156" s="6">
        <f t="shared" si="103"/>
        <v>18.999536596189419</v>
      </c>
      <c r="W156" s="6">
        <f t="shared" si="104"/>
        <v>82.438026896627619</v>
      </c>
      <c r="X156" s="6">
        <f t="shared" si="105"/>
        <v>2.2969437905457992</v>
      </c>
      <c r="Y156" s="6">
        <f t="shared" si="106"/>
        <v>2.6402011703204877</v>
      </c>
      <c r="Z156" s="6">
        <f t="shared" si="107"/>
        <v>3.5612381612005239</v>
      </c>
      <c r="AA156" s="6">
        <f t="shared" si="108"/>
        <v>65.064053385116139</v>
      </c>
      <c r="AC156" s="14">
        <f t="shared" si="109"/>
        <v>1.5431595779068009E-2</v>
      </c>
      <c r="AD156" s="17"/>
      <c r="AE156" s="15">
        <f t="shared" si="110"/>
        <v>1.9971523590432257E-2</v>
      </c>
    </row>
    <row r="157" spans="2:31" x14ac:dyDescent="0.2">
      <c r="B157" s="6">
        <f t="shared" si="86"/>
        <v>142</v>
      </c>
      <c r="C157" s="6">
        <f t="shared" si="87"/>
        <v>26.603936310179471</v>
      </c>
      <c r="D157" s="6">
        <f t="shared" si="88"/>
        <v>873.46454367264835</v>
      </c>
      <c r="E157" s="6">
        <f t="shared" si="89"/>
        <v>0.39990632626252892</v>
      </c>
      <c r="F157" s="6">
        <f t="shared" si="90"/>
        <v>0.51451562559576436</v>
      </c>
      <c r="H157" s="6">
        <f t="shared" si="91"/>
        <v>491.0998005137746</v>
      </c>
      <c r="I157" s="6">
        <f t="shared" si="92"/>
        <v>2133.1132247249775</v>
      </c>
      <c r="J157" s="6">
        <f t="shared" si="93"/>
        <v>59.880509708491815</v>
      </c>
      <c r="K157" s="6">
        <f t="shared" si="94"/>
        <v>68.886805196257882</v>
      </c>
      <c r="L157" s="6">
        <f t="shared" si="95"/>
        <v>93.136670909231</v>
      </c>
      <c r="M157" s="6">
        <f t="shared" si="96"/>
        <v>1684.9063640310915</v>
      </c>
      <c r="O157" s="6">
        <f t="shared" si="97"/>
        <v>0.10838606642692267</v>
      </c>
      <c r="P157" s="6">
        <f t="shared" si="98"/>
        <v>0.47077956747144684</v>
      </c>
      <c r="Q157" s="6">
        <f t="shared" si="99"/>
        <v>1.3215670004656295E-2</v>
      </c>
      <c r="R157" s="6">
        <f t="shared" si="100"/>
        <v>1.5203365662394863E-2</v>
      </c>
      <c r="S157" s="6">
        <f t="shared" si="101"/>
        <v>2.0555327836398105E-2</v>
      </c>
      <c r="T157" s="6">
        <f t="shared" si="102"/>
        <v>0.37186000259818147</v>
      </c>
      <c r="V157" s="6">
        <f t="shared" si="103"/>
        <v>18.967561624711468</v>
      </c>
      <c r="W157" s="6">
        <f t="shared" si="104"/>
        <v>82.386424307503191</v>
      </c>
      <c r="X157" s="6">
        <f t="shared" si="105"/>
        <v>2.3127422508148516</v>
      </c>
      <c r="Y157" s="6">
        <f t="shared" si="106"/>
        <v>2.6605889909191012</v>
      </c>
      <c r="Z157" s="6">
        <f t="shared" si="107"/>
        <v>3.5971823713696685</v>
      </c>
      <c r="AA157" s="6">
        <f t="shared" si="108"/>
        <v>65.075500454681759</v>
      </c>
      <c r="AC157" s="14">
        <f t="shared" si="109"/>
        <v>1.503184797918467E-2</v>
      </c>
      <c r="AD157" s="17"/>
      <c r="AE157" s="15">
        <f t="shared" si="110"/>
        <v>1.9339830752748238E-2</v>
      </c>
    </row>
    <row r="158" spans="2:31" x14ac:dyDescent="0.2">
      <c r="B158" s="6">
        <f t="shared" si="86"/>
        <v>143</v>
      </c>
      <c r="C158" s="6">
        <f t="shared" si="87"/>
        <v>27.402054399484854</v>
      </c>
      <c r="D158" s="6">
        <f t="shared" si="88"/>
        <v>900.06847998282785</v>
      </c>
      <c r="E158" s="6">
        <f t="shared" si="89"/>
        <v>0.40129079707935306</v>
      </c>
      <c r="F158" s="6">
        <f t="shared" si="90"/>
        <v>0.51280149138104092</v>
      </c>
      <c r="H158" s="6">
        <f t="shared" si="91"/>
        <v>490.18537856191631</v>
      </c>
      <c r="I158" s="6">
        <f t="shared" si="92"/>
        <v>2131.3989901205941</v>
      </c>
      <c r="J158" s="6">
        <f t="shared" si="93"/>
        <v>60.280416034754346</v>
      </c>
      <c r="K158" s="6">
        <f t="shared" si="94"/>
        <v>69.401320821853645</v>
      </c>
      <c r="L158" s="6">
        <f t="shared" si="95"/>
        <v>94.051092861089288</v>
      </c>
      <c r="M158" s="6">
        <f t="shared" si="96"/>
        <v>1684.9063640310915</v>
      </c>
      <c r="O158" s="6">
        <f t="shared" si="97"/>
        <v>0.1082033528382519</v>
      </c>
      <c r="P158" s="6">
        <f t="shared" si="98"/>
        <v>0.47048428421857091</v>
      </c>
      <c r="Q158" s="6">
        <f t="shared" si="99"/>
        <v>1.3306278421809896E-2</v>
      </c>
      <c r="R158" s="6">
        <f t="shared" si="100"/>
        <v>1.5319623825497711E-2</v>
      </c>
      <c r="S158" s="6">
        <f t="shared" si="101"/>
        <v>2.0760806076116377E-2</v>
      </c>
      <c r="T158" s="6">
        <f t="shared" si="102"/>
        <v>0.37192565461975324</v>
      </c>
      <c r="V158" s="6">
        <f t="shared" si="103"/>
        <v>18.935586746694081</v>
      </c>
      <c r="W158" s="6">
        <f t="shared" si="104"/>
        <v>82.334749738249911</v>
      </c>
      <c r="X158" s="6">
        <f t="shared" si="105"/>
        <v>2.3285987238167318</v>
      </c>
      <c r="Y158" s="6">
        <f t="shared" si="106"/>
        <v>2.6809341694620996</v>
      </c>
      <c r="Z158" s="6">
        <f t="shared" si="107"/>
        <v>3.633141063320366</v>
      </c>
      <c r="AA158" s="6">
        <f t="shared" si="108"/>
        <v>65.086989558456821</v>
      </c>
      <c r="AC158" s="14">
        <f t="shared" si="109"/>
        <v>1.464455150803938E-2</v>
      </c>
      <c r="AD158" s="17"/>
      <c r="AE158" s="15">
        <f t="shared" si="110"/>
        <v>1.8713979758783389E-2</v>
      </c>
    </row>
    <row r="159" spans="2:31" x14ac:dyDescent="0.2">
      <c r="B159" s="6">
        <f t="shared" si="86"/>
        <v>144</v>
      </c>
      <c r="C159" s="6">
        <f t="shared" si="87"/>
        <v>28.2241160314694</v>
      </c>
      <c r="D159" s="6">
        <f t="shared" si="88"/>
        <v>927.47053438231274</v>
      </c>
      <c r="E159" s="6">
        <f t="shared" si="89"/>
        <v>0.40274016724227302</v>
      </c>
      <c r="F159" s="6">
        <f t="shared" si="90"/>
        <v>0.51069074741016995</v>
      </c>
      <c r="H159" s="6">
        <f t="shared" si="91"/>
        <v>489.27128627345593</v>
      </c>
      <c r="I159" s="6">
        <f t="shared" si="92"/>
        <v>2129.6823162379751</v>
      </c>
      <c r="J159" s="6">
        <f t="shared" si="93"/>
        <v>60.681706831833701</v>
      </c>
      <c r="K159" s="6">
        <f t="shared" si="94"/>
        <v>69.914122313234685</v>
      </c>
      <c r="L159" s="6">
        <f t="shared" si="95"/>
        <v>94.965185149549683</v>
      </c>
      <c r="M159" s="6">
        <f t="shared" si="96"/>
        <v>1684.9063640310915</v>
      </c>
      <c r="O159" s="6">
        <f t="shared" si="97"/>
        <v>0.10802071354008419</v>
      </c>
      <c r="P159" s="6">
        <f t="shared" si="98"/>
        <v>0.47018864557923273</v>
      </c>
      <c r="Q159" s="6">
        <f t="shared" si="99"/>
        <v>1.339723269013037E-2</v>
      </c>
      <c r="R159" s="6">
        <f t="shared" si="100"/>
        <v>1.5435554038589929E-2</v>
      </c>
      <c r="S159" s="6">
        <f t="shared" si="101"/>
        <v>2.0966296917712856E-2</v>
      </c>
      <c r="T159" s="6">
        <f t="shared" si="102"/>
        <v>0.37199155723424987</v>
      </c>
      <c r="V159" s="6">
        <f t="shared" si="103"/>
        <v>18.903624869514733</v>
      </c>
      <c r="W159" s="6">
        <f t="shared" si="104"/>
        <v>82.283012976365725</v>
      </c>
      <c r="X159" s="6">
        <f t="shared" si="105"/>
        <v>2.3445157207728147</v>
      </c>
      <c r="Y159" s="6">
        <f t="shared" si="106"/>
        <v>2.7012219567532374</v>
      </c>
      <c r="Z159" s="6">
        <f t="shared" si="107"/>
        <v>3.6691019605997499</v>
      </c>
      <c r="AA159" s="6">
        <f t="shared" si="108"/>
        <v>65.098522515993722</v>
      </c>
      <c r="AC159" s="14">
        <f t="shared" si="109"/>
        <v>1.4269363362637282E-2</v>
      </c>
      <c r="AD159" s="17"/>
      <c r="AE159" s="15">
        <f t="shared" si="110"/>
        <v>1.8094127264809946E-2</v>
      </c>
    </row>
    <row r="160" spans="2:31" x14ac:dyDescent="0.2">
      <c r="B160" s="6">
        <f t="shared" si="86"/>
        <v>145</v>
      </c>
      <c r="C160" s="6">
        <f t="shared" si="87"/>
        <v>29.070839512413482</v>
      </c>
      <c r="D160" s="6">
        <f t="shared" si="88"/>
        <v>955.69465041378214</v>
      </c>
      <c r="E160" s="6">
        <f t="shared" si="89"/>
        <v>0.40425761433379664</v>
      </c>
      <c r="F160" s="6">
        <f t="shared" si="90"/>
        <v>0.50817093355441734</v>
      </c>
      <c r="H160" s="6">
        <f t="shared" si="91"/>
        <v>488.35785535880348</v>
      </c>
      <c r="I160" s="6">
        <f t="shared" si="92"/>
        <v>2127.9634049888382</v>
      </c>
      <c r="J160" s="6">
        <f t="shared" si="93"/>
        <v>61.084446999075972</v>
      </c>
      <c r="K160" s="6">
        <f t="shared" si="94"/>
        <v>70.424813060644851</v>
      </c>
      <c r="L160" s="6">
        <f t="shared" si="95"/>
        <v>95.87861606420212</v>
      </c>
      <c r="M160" s="6">
        <f t="shared" si="96"/>
        <v>1684.9063640310915</v>
      </c>
      <c r="O160" s="6">
        <f t="shared" si="97"/>
        <v>0.1078382245753913</v>
      </c>
      <c r="P160" s="6">
        <f t="shared" si="98"/>
        <v>0.46989270887595647</v>
      </c>
      <c r="Q160" s="6">
        <f t="shared" si="99"/>
        <v>1.3488547877888038E-2</v>
      </c>
      <c r="R160" s="6">
        <f t="shared" si="100"/>
        <v>1.5551069207096079E-2</v>
      </c>
      <c r="S160" s="6">
        <f t="shared" si="101"/>
        <v>2.1171728104000004E-2</v>
      </c>
      <c r="T160" s="6">
        <f t="shared" si="102"/>
        <v>0.37205772135966819</v>
      </c>
      <c r="V160" s="6">
        <f t="shared" si="103"/>
        <v>18.871689300693479</v>
      </c>
      <c r="W160" s="6">
        <f t="shared" si="104"/>
        <v>82.231224053292379</v>
      </c>
      <c r="X160" s="6">
        <f t="shared" si="105"/>
        <v>2.3604958786304069</v>
      </c>
      <c r="Y160" s="6">
        <f t="shared" si="106"/>
        <v>2.7214371112418139</v>
      </c>
      <c r="Z160" s="6">
        <f t="shared" si="107"/>
        <v>3.7050524182000006</v>
      </c>
      <c r="AA160" s="6">
        <f t="shared" si="108"/>
        <v>65.110101237941933</v>
      </c>
      <c r="AC160" s="14">
        <f t="shared" si="109"/>
        <v>1.3905949092429044E-2</v>
      </c>
      <c r="AD160" s="17"/>
      <c r="AE160" s="15">
        <f t="shared" si="110"/>
        <v>1.7480435449324545E-2</v>
      </c>
    </row>
    <row r="161" spans="2:31" x14ac:dyDescent="0.2">
      <c r="B161" s="6">
        <f t="shared" si="86"/>
        <v>146</v>
      </c>
      <c r="C161" s="6">
        <f t="shared" si="87"/>
        <v>29.942964697785886</v>
      </c>
      <c r="D161" s="6">
        <f t="shared" si="88"/>
        <v>984.76548992619564</v>
      </c>
      <c r="E161" s="6">
        <f t="shared" si="89"/>
        <v>0.40584642168854879</v>
      </c>
      <c r="F161" s="6">
        <f t="shared" si="90"/>
        <v>0.50522979549932956</v>
      </c>
      <c r="H161" s="6">
        <f t="shared" si="91"/>
        <v>487.44542681091525</v>
      </c>
      <c r="I161" s="6">
        <f t="shared" si="92"/>
        <v>2126.2424612122823</v>
      </c>
      <c r="J161" s="6">
        <f t="shared" si="93"/>
        <v>61.488704613409766</v>
      </c>
      <c r="K161" s="6">
        <f t="shared" si="94"/>
        <v>70.932983994199262</v>
      </c>
      <c r="L161" s="6">
        <f t="shared" si="95"/>
        <v>96.791044612090332</v>
      </c>
      <c r="M161" s="6">
        <f t="shared" si="96"/>
        <v>1684.9063640310915</v>
      </c>
      <c r="O161" s="6">
        <f t="shared" si="97"/>
        <v>0.10765596422203028</v>
      </c>
      <c r="P161" s="6">
        <f t="shared" si="98"/>
        <v>0.46959653274257634</v>
      </c>
      <c r="Q161" s="6">
        <f t="shared" si="99"/>
        <v>1.3580239796747639E-2</v>
      </c>
      <c r="R161" s="6">
        <f t="shared" si="100"/>
        <v>1.5666079456323586E-2</v>
      </c>
      <c r="S161" s="6">
        <f t="shared" si="101"/>
        <v>2.1377025329676964E-2</v>
      </c>
      <c r="T161" s="6">
        <f t="shared" si="102"/>
        <v>0.37212415845264524</v>
      </c>
      <c r="V161" s="6">
        <f t="shared" si="103"/>
        <v>18.839793738855299</v>
      </c>
      <c r="W161" s="6">
        <f t="shared" si="104"/>
        <v>82.179393229950861</v>
      </c>
      <c r="X161" s="6">
        <f t="shared" si="105"/>
        <v>2.376541964430837</v>
      </c>
      <c r="Y161" s="6">
        <f t="shared" si="106"/>
        <v>2.7415639048566276</v>
      </c>
      <c r="Z161" s="6">
        <f t="shared" si="107"/>
        <v>3.7409794326934684</v>
      </c>
      <c r="AA161" s="6">
        <f t="shared" si="108"/>
        <v>65.121727729212921</v>
      </c>
      <c r="AC161" s="14">
        <f t="shared" si="109"/>
        <v>1.3553982572692906E-2</v>
      </c>
      <c r="AD161" s="17"/>
      <c r="AE161" s="15">
        <f t="shared" si="110"/>
        <v>1.6873071875100211E-2</v>
      </c>
    </row>
    <row r="162" spans="2:31" x14ac:dyDescent="0.2">
      <c r="B162" s="6">
        <f t="shared" si="86"/>
        <v>147</v>
      </c>
      <c r="C162" s="6">
        <f t="shared" si="87"/>
        <v>30.841253638719465</v>
      </c>
      <c r="D162" s="6">
        <f t="shared" si="88"/>
        <v>1014.7084546239815</v>
      </c>
      <c r="E162" s="6">
        <f t="shared" si="89"/>
        <v>0.4075099804631267</v>
      </c>
      <c r="F162" s="6">
        <f t="shared" si="90"/>
        <v>0.50185533508273439</v>
      </c>
      <c r="H162" s="6">
        <f t="shared" si="91"/>
        <v>486.53435059372742</v>
      </c>
      <c r="I162" s="6">
        <f t="shared" si="92"/>
        <v>2124.5196921517172</v>
      </c>
      <c r="J162" s="6">
        <f t="shared" si="93"/>
        <v>61.894551035098317</v>
      </c>
      <c r="K162" s="6">
        <f t="shared" si="94"/>
        <v>71.438213789698594</v>
      </c>
      <c r="L162" s="6">
        <f t="shared" si="95"/>
        <v>97.702120829278215</v>
      </c>
      <c r="M162" s="6">
        <f t="shared" si="96"/>
        <v>1684.9063640310915</v>
      </c>
      <c r="O162" s="6">
        <f t="shared" si="97"/>
        <v>0.10747401293021887</v>
      </c>
      <c r="P162" s="6">
        <f t="shared" si="98"/>
        <v>0.46930017703001214</v>
      </c>
      <c r="Q162" s="6">
        <f t="shared" si="99"/>
        <v>1.3672325027284537E-2</v>
      </c>
      <c r="R162" s="6">
        <f t="shared" si="100"/>
        <v>1.5780492175272918E-2</v>
      </c>
      <c r="S162" s="6">
        <f t="shared" si="101"/>
        <v>2.158211231026496E-2</v>
      </c>
      <c r="T162" s="6">
        <f t="shared" si="102"/>
        <v>0.37219088052694665</v>
      </c>
      <c r="V162" s="6">
        <f t="shared" si="103"/>
        <v>18.807952262788302</v>
      </c>
      <c r="W162" s="6">
        <f t="shared" si="104"/>
        <v>82.127530980252132</v>
      </c>
      <c r="X162" s="6">
        <f t="shared" si="105"/>
        <v>2.392656879774794</v>
      </c>
      <c r="Y162" s="6">
        <f t="shared" si="106"/>
        <v>2.7615861306727605</v>
      </c>
      <c r="Z162" s="6">
        <f t="shared" si="107"/>
        <v>3.7768696542963682</v>
      </c>
      <c r="AA162" s="6">
        <f t="shared" si="108"/>
        <v>65.13340409221567</v>
      </c>
      <c r="AC162" s="14">
        <f t="shared" si="109"/>
        <v>1.3213145783137712E-2</v>
      </c>
      <c r="AD162" s="17"/>
      <c r="AE162" s="15">
        <f t="shared" si="110"/>
        <v>1.6272209325910253E-2</v>
      </c>
    </row>
    <row r="163" spans="2:31" x14ac:dyDescent="0.2">
      <c r="B163" s="6">
        <f t="shared" si="86"/>
        <v>148</v>
      </c>
      <c r="C163" s="6">
        <f t="shared" si="87"/>
        <v>31.766491247881049</v>
      </c>
      <c r="D163" s="6">
        <f t="shared" si="88"/>
        <v>1045.549708262701</v>
      </c>
      <c r="E163" s="6">
        <f t="shared" si="89"/>
        <v>0.40925179164305464</v>
      </c>
      <c r="F163" s="6">
        <f t="shared" si="90"/>
        <v>0.49803586352537299</v>
      </c>
      <c r="H163" s="6">
        <f t="shared" si="91"/>
        <v>485.62498527818155</v>
      </c>
      <c r="I163" s="6">
        <f t="shared" si="92"/>
        <v>2122.7953068752449</v>
      </c>
      <c r="J163" s="6">
        <f t="shared" si="93"/>
        <v>62.302061015561442</v>
      </c>
      <c r="K163" s="6">
        <f t="shared" si="94"/>
        <v>71.940069124781331</v>
      </c>
      <c r="L163" s="6">
        <f t="shared" si="95"/>
        <v>98.611486144824084</v>
      </c>
      <c r="M163" s="6">
        <f t="shared" si="96"/>
        <v>1684.9063640310915</v>
      </c>
      <c r="O163" s="6">
        <f t="shared" si="97"/>
        <v>0.10729245324848784</v>
      </c>
      <c r="P163" s="6">
        <f t="shared" si="98"/>
        <v>0.46900370269983827</v>
      </c>
      <c r="Q163" s="6">
        <f t="shared" si="99"/>
        <v>1.3764820945049694E-2</v>
      </c>
      <c r="R163" s="6">
        <f t="shared" si="100"/>
        <v>1.5894212071568162E-2</v>
      </c>
      <c r="S163" s="6">
        <f t="shared" si="101"/>
        <v>2.1786910862703505E-2</v>
      </c>
      <c r="T163" s="6">
        <f t="shared" si="102"/>
        <v>0.37225790017235261</v>
      </c>
      <c r="V163" s="6">
        <f t="shared" si="103"/>
        <v>18.776179318485372</v>
      </c>
      <c r="W163" s="6">
        <f t="shared" si="104"/>
        <v>82.0756479724717</v>
      </c>
      <c r="X163" s="6">
        <f t="shared" si="105"/>
        <v>2.4088436653836962</v>
      </c>
      <c r="Y163" s="6">
        <f t="shared" si="106"/>
        <v>2.7814871125244283</v>
      </c>
      <c r="Z163" s="6">
        <f t="shared" si="107"/>
        <v>3.8127094009731133</v>
      </c>
      <c r="AA163" s="6">
        <f t="shared" si="108"/>
        <v>65.145132530161703</v>
      </c>
      <c r="AC163" s="14">
        <f t="shared" si="109"/>
        <v>1.2883128591369163E-2</v>
      </c>
      <c r="AD163" s="17"/>
      <c r="AE163" s="15">
        <f t="shared" si="110"/>
        <v>1.5678025616335387E-2</v>
      </c>
    </row>
    <row r="164" spans="2:31" x14ac:dyDescent="0.2">
      <c r="B164" s="6">
        <f t="shared" si="86"/>
        <v>149</v>
      </c>
      <c r="C164" s="6">
        <f t="shared" si="87"/>
        <v>32.719485985317483</v>
      </c>
      <c r="D164" s="6">
        <f t="shared" si="88"/>
        <v>1077.316199510582</v>
      </c>
      <c r="E164" s="6">
        <f t="shared" si="89"/>
        <v>0.41107546796781141</v>
      </c>
      <c r="F164" s="6">
        <f t="shared" si="90"/>
        <v>0.49376005752367774</v>
      </c>
      <c r="H164" s="6">
        <f t="shared" si="91"/>
        <v>484.71769762301312</v>
      </c>
      <c r="I164" s="6">
        <f t="shared" si="92"/>
        <v>2121.0695156367906</v>
      </c>
      <c r="J164" s="6">
        <f t="shared" si="93"/>
        <v>62.7113128072045</v>
      </c>
      <c r="K164" s="6">
        <f t="shared" si="94"/>
        <v>72.438104988306705</v>
      </c>
      <c r="L164" s="6">
        <f t="shared" si="95"/>
        <v>99.518773799992516</v>
      </c>
      <c r="M164" s="6">
        <f t="shared" si="96"/>
        <v>1684.9063640310915</v>
      </c>
      <c r="O164" s="6">
        <f t="shared" si="97"/>
        <v>0.10711136973747237</v>
      </c>
      <c r="P164" s="6">
        <f t="shared" si="98"/>
        <v>0.46870717170502441</v>
      </c>
      <c r="Q164" s="6">
        <f t="shared" si="99"/>
        <v>1.3857745747172936E-2</v>
      </c>
      <c r="R164" s="6">
        <f t="shared" si="100"/>
        <v>1.600714123815393E-2</v>
      </c>
      <c r="S164" s="6">
        <f t="shared" si="101"/>
        <v>2.1991340998242907E-2</v>
      </c>
      <c r="T164" s="6">
        <f t="shared" si="102"/>
        <v>0.3723252305739333</v>
      </c>
      <c r="V164" s="6">
        <f t="shared" si="103"/>
        <v>18.744489704057663</v>
      </c>
      <c r="W164" s="6">
        <f t="shared" si="104"/>
        <v>82.023755048379272</v>
      </c>
      <c r="X164" s="6">
        <f t="shared" si="105"/>
        <v>2.4251055057552637</v>
      </c>
      <c r="Y164" s="6">
        <f t="shared" si="106"/>
        <v>2.8012497166769377</v>
      </c>
      <c r="Z164" s="6">
        <f t="shared" si="107"/>
        <v>3.8484846746925085</v>
      </c>
      <c r="AA164" s="6">
        <f t="shared" si="108"/>
        <v>65.156915350438325</v>
      </c>
      <c r="AC164" s="14">
        <f t="shared" si="109"/>
        <v>1.2563628540872467E-2</v>
      </c>
      <c r="AD164" s="17"/>
      <c r="AE164" s="15">
        <f t="shared" si="110"/>
        <v>1.5090703373067879E-2</v>
      </c>
    </row>
    <row r="165" spans="2:31" x14ac:dyDescent="0.2">
      <c r="B165" s="6">
        <f t="shared" si="86"/>
        <v>150</v>
      </c>
      <c r="C165" s="6">
        <f t="shared" si="87"/>
        <v>33.701070564877007</v>
      </c>
      <c r="D165" s="6">
        <f t="shared" si="88"/>
        <v>1110.0356854958995</v>
      </c>
      <c r="E165" s="6">
        <f t="shared" si="89"/>
        <v>0.41298473575239875</v>
      </c>
      <c r="F165" s="6">
        <f t="shared" si="90"/>
        <v>0.48901701814941589</v>
      </c>
      <c r="H165" s="6">
        <f t="shared" si="91"/>
        <v>483.81286209752164</v>
      </c>
      <c r="I165" s="6">
        <f t="shared" si="92"/>
        <v>2119.3425291753638</v>
      </c>
      <c r="J165" s="6">
        <f t="shared" si="93"/>
        <v>63.122388275172312</v>
      </c>
      <c r="K165" s="6">
        <f t="shared" si="94"/>
        <v>72.931865045830378</v>
      </c>
      <c r="L165" s="6">
        <f t="shared" si="95"/>
        <v>100.42360932548399</v>
      </c>
      <c r="M165" s="6">
        <f t="shared" si="96"/>
        <v>1684.9063640310915</v>
      </c>
      <c r="O165" s="6">
        <f t="shared" si="97"/>
        <v>0.10693084887091346</v>
      </c>
      <c r="P165" s="6">
        <f t="shared" si="98"/>
        <v>0.46841064685723499</v>
      </c>
      <c r="Q165" s="6">
        <f t="shared" si="99"/>
        <v>1.3951118479489771E-2</v>
      </c>
      <c r="R165" s="6">
        <f t="shared" si="100"/>
        <v>1.6119179232398282E-2</v>
      </c>
      <c r="S165" s="6">
        <f t="shared" si="101"/>
        <v>2.2195321028258361E-2</v>
      </c>
      <c r="T165" s="6">
        <f t="shared" si="102"/>
        <v>0.37239288553170502</v>
      </c>
      <c r="V165" s="6">
        <f t="shared" si="103"/>
        <v>18.712898552409857</v>
      </c>
      <c r="W165" s="6">
        <f t="shared" si="104"/>
        <v>81.971863200016116</v>
      </c>
      <c r="X165" s="6">
        <f t="shared" si="105"/>
        <v>2.4414457339107098</v>
      </c>
      <c r="Y165" s="6">
        <f t="shared" si="106"/>
        <v>2.8208563656696994</v>
      </c>
      <c r="Z165" s="6">
        <f t="shared" si="107"/>
        <v>3.8841811799452133</v>
      </c>
      <c r="AA165" s="6">
        <f t="shared" si="108"/>
        <v>65.168754968048376</v>
      </c>
      <c r="AC165" s="14">
        <f t="shared" si="109"/>
        <v>1.2254350643175361E-2</v>
      </c>
      <c r="AD165" s="17"/>
      <c r="AE165" s="15">
        <f t="shared" si="110"/>
        <v>1.4510429786140552E-2</v>
      </c>
    </row>
    <row r="166" spans="2:31" x14ac:dyDescent="0.2">
      <c r="B166" s="6">
        <f t="shared" si="86"/>
        <v>151</v>
      </c>
      <c r="C166" s="6">
        <f t="shared" si="87"/>
        <v>34.712102681823318</v>
      </c>
      <c r="D166" s="6">
        <f t="shared" si="88"/>
        <v>1143.7367560607765</v>
      </c>
      <c r="E166" s="6">
        <f t="shared" si="89"/>
        <v>0.41498343658116982</v>
      </c>
      <c r="F166" s="6">
        <f t="shared" si="90"/>
        <v>0.48379633247344811</v>
      </c>
      <c r="H166" s="6">
        <f t="shared" si="91"/>
        <v>482.91086034361985</v>
      </c>
      <c r="I166" s="6">
        <f t="shared" si="92"/>
        <v>2117.6145579499571</v>
      </c>
      <c r="J166" s="6">
        <f t="shared" si="93"/>
        <v>63.535373010924708</v>
      </c>
      <c r="K166" s="6">
        <f t="shared" si="94"/>
        <v>73.420882063979789</v>
      </c>
      <c r="L166" s="6">
        <f t="shared" si="95"/>
        <v>101.32561107938581</v>
      </c>
      <c r="M166" s="6">
        <f t="shared" si="96"/>
        <v>1684.9063640310915</v>
      </c>
      <c r="O166" s="6">
        <f t="shared" si="97"/>
        <v>0.10675097892325533</v>
      </c>
      <c r="P166" s="6">
        <f t="shared" si="98"/>
        <v>0.46811419168009849</v>
      </c>
      <c r="Q166" s="6">
        <f t="shared" si="99"/>
        <v>1.4044959064172345E-2</v>
      </c>
      <c r="R166" s="6">
        <f t="shared" si="100"/>
        <v>1.623022316822963E-2</v>
      </c>
      <c r="S166" s="6">
        <f t="shared" si="101"/>
        <v>2.2398767683594487E-2</v>
      </c>
      <c r="T166" s="6">
        <f t="shared" si="102"/>
        <v>0.37246087948064965</v>
      </c>
      <c r="V166" s="6">
        <f t="shared" si="103"/>
        <v>18.681421311569682</v>
      </c>
      <c r="W166" s="6">
        <f t="shared" si="104"/>
        <v>81.919983544017242</v>
      </c>
      <c r="X166" s="6">
        <f t="shared" si="105"/>
        <v>2.4578678362301605</v>
      </c>
      <c r="Y166" s="6">
        <f t="shared" si="106"/>
        <v>2.8402890544401851</v>
      </c>
      <c r="Z166" s="6">
        <f t="shared" si="107"/>
        <v>3.919784344629035</v>
      </c>
      <c r="AA166" s="6">
        <f t="shared" si="108"/>
        <v>65.180653909113687</v>
      </c>
      <c r="AC166" s="14">
        <f t="shared" si="109"/>
        <v>1.1955007173865967E-2</v>
      </c>
      <c r="AD166" s="17"/>
      <c r="AE166" s="15">
        <f t="shared" si="110"/>
        <v>1.3937396328537128E-2</v>
      </c>
    </row>
    <row r="167" spans="2:31" x14ac:dyDescent="0.2">
      <c r="B167" s="6">
        <f t="shared" si="86"/>
        <v>152</v>
      </c>
      <c r="C167" s="6">
        <f t="shared" si="87"/>
        <v>35.753465762278019</v>
      </c>
      <c r="D167" s="6">
        <f t="shared" si="88"/>
        <v>1178.4488587425999</v>
      </c>
      <c r="E167" s="6">
        <f t="shared" si="89"/>
        <v>0.41707552884668569</v>
      </c>
      <c r="F167" s="6">
        <f t="shared" si="90"/>
        <v>0.47808813780061316</v>
      </c>
      <c r="H167" s="6">
        <f t="shared" si="91"/>
        <v>482.01208057456523</v>
      </c>
      <c r="I167" s="6">
        <f t="shared" si="92"/>
        <v>2115.8858113077399</v>
      </c>
      <c r="J167" s="6">
        <f t="shared" si="93"/>
        <v>63.950356447505875</v>
      </c>
      <c r="K167" s="6">
        <f t="shared" si="94"/>
        <v>73.904678396453235</v>
      </c>
      <c r="L167" s="6">
        <f t="shared" si="95"/>
        <v>102.22439084844042</v>
      </c>
      <c r="M167" s="6">
        <f t="shared" si="96"/>
        <v>1684.9063640310915</v>
      </c>
      <c r="O167" s="6">
        <f t="shared" si="97"/>
        <v>0.10657184984324705</v>
      </c>
      <c r="P167" s="6">
        <f t="shared" si="98"/>
        <v>0.46781787024788574</v>
      </c>
      <c r="Q167" s="6">
        <f t="shared" si="99"/>
        <v>1.4139288327839788E-2</v>
      </c>
      <c r="R167" s="6">
        <f t="shared" si="100"/>
        <v>1.6340167821918043E-2</v>
      </c>
      <c r="S167" s="6">
        <f t="shared" si="101"/>
        <v>2.2601596248026188E-2</v>
      </c>
      <c r="T167" s="6">
        <f t="shared" si="102"/>
        <v>0.37252922751108331</v>
      </c>
      <c r="V167" s="6">
        <f t="shared" si="103"/>
        <v>18.650073722568234</v>
      </c>
      <c r="W167" s="6">
        <f t="shared" si="104"/>
        <v>81.868127293379999</v>
      </c>
      <c r="X167" s="6">
        <f t="shared" si="105"/>
        <v>2.4743754573719627</v>
      </c>
      <c r="Y167" s="6">
        <f t="shared" si="106"/>
        <v>2.8595293688356578</v>
      </c>
      <c r="Z167" s="6">
        <f t="shared" si="107"/>
        <v>3.955279343404583</v>
      </c>
      <c r="AA167" s="6">
        <f t="shared" si="108"/>
        <v>65.19261481443958</v>
      </c>
      <c r="AC167" s="14">
        <f t="shared" si="109"/>
        <v>1.1665317472151876E-2</v>
      </c>
      <c r="AD167" s="17"/>
      <c r="AE167" s="15">
        <f t="shared" si="110"/>
        <v>1.3371798442684789E-2</v>
      </c>
    </row>
    <row r="168" spans="2:31" x14ac:dyDescent="0.2">
      <c r="B168" s="6">
        <f t="shared" si="86"/>
        <v>153</v>
      </c>
      <c r="C168" s="6">
        <f t="shared" si="87"/>
        <v>36.826069735146362</v>
      </c>
      <c r="D168" s="6">
        <f t="shared" si="88"/>
        <v>1214.2023245048779</v>
      </c>
      <c r="E168" s="6">
        <f t="shared" si="89"/>
        <v>0.41926508910312638</v>
      </c>
      <c r="F168" s="6">
        <f t="shared" si="90"/>
        <v>0.47188318836966764</v>
      </c>
      <c r="H168" s="6">
        <f t="shared" si="91"/>
        <v>481.11691690791793</v>
      </c>
      <c r="I168" s="6">
        <f t="shared" si="92"/>
        <v>2114.1564965833991</v>
      </c>
      <c r="J168" s="6">
        <f t="shared" si="93"/>
        <v>64.367431976352563</v>
      </c>
      <c r="K168" s="6">
        <f t="shared" si="94"/>
        <v>74.382766534253847</v>
      </c>
      <c r="L168" s="6">
        <f t="shared" si="95"/>
        <v>103.11955451508771</v>
      </c>
      <c r="M168" s="6">
        <f t="shared" si="96"/>
        <v>1684.9063640310915</v>
      </c>
      <c r="O168" s="6">
        <f t="shared" si="97"/>
        <v>0.10639355311298489</v>
      </c>
      <c r="P168" s="6">
        <f t="shared" si="98"/>
        <v>0.46752174700907118</v>
      </c>
      <c r="Q168" s="6">
        <f t="shared" si="99"/>
        <v>1.4234128030117086E-2</v>
      </c>
      <c r="R168" s="6">
        <f t="shared" si="100"/>
        <v>1.6448905752086743E-2</v>
      </c>
      <c r="S168" s="6">
        <f t="shared" si="101"/>
        <v>2.2803720706391497E-2</v>
      </c>
      <c r="T168" s="6">
        <f t="shared" si="102"/>
        <v>0.37259794538934859</v>
      </c>
      <c r="V168" s="6">
        <f t="shared" si="103"/>
        <v>18.618871794772357</v>
      </c>
      <c r="W168" s="6">
        <f t="shared" si="104"/>
        <v>81.816305726587458</v>
      </c>
      <c r="X168" s="6">
        <f t="shared" si="105"/>
        <v>2.4909724052704902</v>
      </c>
      <c r="Y168" s="6">
        <f t="shared" si="106"/>
        <v>2.87855850661518</v>
      </c>
      <c r="Z168" s="6">
        <f t="shared" si="107"/>
        <v>3.990651123618512</v>
      </c>
      <c r="AA168" s="6">
        <f t="shared" si="108"/>
        <v>65.204640443136</v>
      </c>
      <c r="AC168" s="14">
        <f t="shared" si="109"/>
        <v>1.1385007743657879E-2</v>
      </c>
      <c r="AD168" s="17"/>
      <c r="AE168" s="15">
        <f t="shared" si="110"/>
        <v>1.2813835192391111E-2</v>
      </c>
    </row>
    <row r="169" spans="2:31" x14ac:dyDescent="0.2">
      <c r="B169" s="6">
        <f t="shared" si="86"/>
        <v>154</v>
      </c>
      <c r="C169" s="6">
        <f t="shared" si="87"/>
        <v>37.930851827200755</v>
      </c>
      <c r="D169" s="6">
        <f t="shared" si="88"/>
        <v>1251.0283942400242</v>
      </c>
      <c r="E169" s="6">
        <f t="shared" si="89"/>
        <v>0.42155631320034059</v>
      </c>
      <c r="F169" s="6">
        <f t="shared" si="90"/>
        <v>0.46517292433630297</v>
      </c>
      <c r="H169" s="6">
        <f t="shared" si="91"/>
        <v>480.22576863044515</v>
      </c>
      <c r="I169" s="6">
        <f t="shared" si="92"/>
        <v>2112.4268181277198</v>
      </c>
      <c r="J169" s="6">
        <f t="shared" si="93"/>
        <v>64.786697065455684</v>
      </c>
      <c r="K169" s="6">
        <f t="shared" si="94"/>
        <v>74.85464972262352</v>
      </c>
      <c r="L169" s="6">
        <f t="shared" si="95"/>
        <v>104.01070279256051</v>
      </c>
      <c r="M169" s="6">
        <f t="shared" si="96"/>
        <v>1684.9063640310915</v>
      </c>
      <c r="O169" s="6">
        <f t="shared" si="97"/>
        <v>0.10621618159186912</v>
      </c>
      <c r="P169" s="6">
        <f t="shared" si="98"/>
        <v>0.46722588659429842</v>
      </c>
      <c r="Q169" s="6">
        <f t="shared" si="99"/>
        <v>1.4329500892604936E-2</v>
      </c>
      <c r="R169" s="6">
        <f t="shared" si="100"/>
        <v>1.6556327434508012E-2</v>
      </c>
      <c r="S169" s="6">
        <f t="shared" si="101"/>
        <v>2.3005053907913395E-2</v>
      </c>
      <c r="T169" s="6">
        <f t="shared" si="102"/>
        <v>0.37266704957880603</v>
      </c>
      <c r="V169" s="6">
        <f t="shared" si="103"/>
        <v>18.587831778577094</v>
      </c>
      <c r="W169" s="6">
        <f t="shared" si="104"/>
        <v>81.76453015400223</v>
      </c>
      <c r="X169" s="6">
        <f t="shared" si="105"/>
        <v>2.5076626562058637</v>
      </c>
      <c r="Y169" s="6">
        <f t="shared" si="106"/>
        <v>2.8973573010389022</v>
      </c>
      <c r="Z169" s="6">
        <f t="shared" si="107"/>
        <v>4.0258844338848441</v>
      </c>
      <c r="AA169" s="6">
        <f t="shared" si="108"/>
        <v>65.216733676291057</v>
      </c>
      <c r="AC169" s="14">
        <f t="shared" si="109"/>
        <v>1.111381086617297E-2</v>
      </c>
      <c r="AD169" s="17"/>
      <c r="AE169" s="15">
        <f t="shared" si="110"/>
        <v>1.2263708878868912E-2</v>
      </c>
    </row>
    <row r="170" spans="2:31" x14ac:dyDescent="0.2">
      <c r="B170" s="6">
        <f t="shared" si="86"/>
        <v>155</v>
      </c>
      <c r="C170" s="6">
        <f t="shared" si="87"/>
        <v>39.068777382016776</v>
      </c>
      <c r="D170" s="6">
        <f t="shared" si="88"/>
        <v>1288.959246067225</v>
      </c>
      <c r="E170" s="6">
        <f t="shared" si="89"/>
        <v>0.42395351716088553</v>
      </c>
      <c r="F170" s="6">
        <f t="shared" si="90"/>
        <v>0.45794954281850986</v>
      </c>
      <c r="H170" s="6">
        <f t="shared" si="91"/>
        <v>479.33903939290855</v>
      </c>
      <c r="I170" s="6">
        <f t="shared" si="92"/>
        <v>2110.6969762637823</v>
      </c>
      <c r="J170" s="6">
        <f t="shared" si="93"/>
        <v>65.208253378656025</v>
      </c>
      <c r="K170" s="6">
        <f t="shared" si="94"/>
        <v>75.319822646959821</v>
      </c>
      <c r="L170" s="6">
        <f t="shared" si="95"/>
        <v>104.89743203009715</v>
      </c>
      <c r="M170" s="6">
        <f t="shared" si="96"/>
        <v>1684.9063640310915</v>
      </c>
      <c r="O170" s="6">
        <f t="shared" si="97"/>
        <v>0.1060398293449934</v>
      </c>
      <c r="P170" s="6">
        <f t="shared" si="98"/>
        <v>0.4669303536083238</v>
      </c>
      <c r="Q170" s="6">
        <f t="shared" si="99"/>
        <v>1.4425430628215321E-2</v>
      </c>
      <c r="R170" s="6">
        <f t="shared" si="100"/>
        <v>1.6662321412197808E-2</v>
      </c>
      <c r="S170" s="6">
        <f t="shared" si="101"/>
        <v>2.3205507745180553E-2</v>
      </c>
      <c r="T170" s="6">
        <f t="shared" si="102"/>
        <v>0.37273655726108901</v>
      </c>
      <c r="V170" s="6">
        <f t="shared" si="103"/>
        <v>18.556970135373845</v>
      </c>
      <c r="W170" s="6">
        <f t="shared" si="104"/>
        <v>81.712811881456659</v>
      </c>
      <c r="X170" s="6">
        <f t="shared" si="105"/>
        <v>2.5244503599376813</v>
      </c>
      <c r="Y170" s="6">
        <f t="shared" si="106"/>
        <v>2.9159062471346164</v>
      </c>
      <c r="Z170" s="6">
        <f t="shared" si="107"/>
        <v>4.0609638554065963</v>
      </c>
      <c r="AA170" s="6">
        <f t="shared" si="108"/>
        <v>65.22889752069058</v>
      </c>
      <c r="AC170" s="14">
        <f t="shared" si="109"/>
        <v>1.0851466198070224E-2</v>
      </c>
      <c r="AD170" s="17"/>
      <c r="AE170" s="15">
        <f t="shared" si="110"/>
        <v>1.1721624619594634E-2</v>
      </c>
    </row>
    <row r="171" spans="2:31" x14ac:dyDescent="0.2">
      <c r="B171" s="6">
        <f t="shared" si="86"/>
        <v>156</v>
      </c>
      <c r="C171" s="6">
        <f t="shared" si="87"/>
        <v>40.240840703477282</v>
      </c>
      <c r="D171" s="6">
        <f t="shared" si="88"/>
        <v>1328.0280234492418</v>
      </c>
      <c r="E171" s="6">
        <f t="shared" si="89"/>
        <v>0.42646113775844757</v>
      </c>
      <c r="F171" s="6">
        <f t="shared" si="90"/>
        <v>0.45020607074201097</v>
      </c>
      <c r="H171" s="6">
        <f t="shared" si="91"/>
        <v>478.45713633292917</v>
      </c>
      <c r="I171" s="6">
        <f t="shared" si="92"/>
        <v>2108.9671661694811</v>
      </c>
      <c r="J171" s="6">
        <f t="shared" si="93"/>
        <v>65.632206895816907</v>
      </c>
      <c r="K171" s="6">
        <f t="shared" si="94"/>
        <v>75.777772189778332</v>
      </c>
      <c r="L171" s="6">
        <f t="shared" si="95"/>
        <v>105.77933509007654</v>
      </c>
      <c r="M171" s="6">
        <f t="shared" si="96"/>
        <v>1684.9063640310915</v>
      </c>
      <c r="O171" s="6">
        <f t="shared" si="97"/>
        <v>0.10586459145554054</v>
      </c>
      <c r="P171" s="6">
        <f t="shared" si="98"/>
        <v>0.46663521240557843</v>
      </c>
      <c r="Q171" s="6">
        <f t="shared" si="99"/>
        <v>1.4521941970819283E-2</v>
      </c>
      <c r="R171" s="6">
        <f t="shared" si="100"/>
        <v>1.676677446127537E-2</v>
      </c>
      <c r="S171" s="6">
        <f t="shared" si="101"/>
        <v>2.34049933492004E-2</v>
      </c>
      <c r="T171" s="6">
        <f t="shared" si="102"/>
        <v>0.3728064863575859</v>
      </c>
      <c r="V171" s="6">
        <f t="shared" si="103"/>
        <v>18.526303504719596</v>
      </c>
      <c r="W171" s="6">
        <f t="shared" si="104"/>
        <v>81.661162170976226</v>
      </c>
      <c r="X171" s="6">
        <f t="shared" si="105"/>
        <v>2.5413398448933746</v>
      </c>
      <c r="Y171" s="6">
        <f t="shared" si="106"/>
        <v>2.9341855307231897</v>
      </c>
      <c r="Z171" s="6">
        <f t="shared" si="107"/>
        <v>4.0958738361100702</v>
      </c>
      <c r="AA171" s="6">
        <f t="shared" si="108"/>
        <v>65.241135112577538</v>
      </c>
      <c r="AC171" s="14">
        <f t="shared" si="109"/>
        <v>1.0597719389137819E-2</v>
      </c>
      <c r="AD171" s="17"/>
      <c r="AE171" s="15">
        <f t="shared" si="110"/>
        <v>1.1187789888870484E-2</v>
      </c>
    </row>
    <row r="172" spans="2:31" x14ac:dyDescent="0.2">
      <c r="B172" s="6">
        <f t="shared" si="86"/>
        <v>157</v>
      </c>
      <c r="C172" s="6">
        <f t="shared" si="87"/>
        <v>41.448065924581599</v>
      </c>
      <c r="D172" s="6">
        <f t="shared" si="88"/>
        <v>1368.2688641527191</v>
      </c>
      <c r="E172" s="6">
        <f t="shared" si="89"/>
        <v>0.42908373275183331</v>
      </c>
      <c r="F172" s="6">
        <f t="shared" si="90"/>
        <v>0.44193643917931241</v>
      </c>
      <c r="H172" s="6">
        <f t="shared" si="91"/>
        <v>477.5804691244287</v>
      </c>
      <c r="I172" s="6">
        <f t="shared" si="92"/>
        <v>2107.2375766854639</v>
      </c>
      <c r="J172" s="6">
        <f t="shared" si="93"/>
        <v>66.058668033575358</v>
      </c>
      <c r="K172" s="6">
        <f t="shared" si="94"/>
        <v>76.227978260520345</v>
      </c>
      <c r="L172" s="6">
        <f t="shared" si="95"/>
        <v>106.65600229857701</v>
      </c>
      <c r="M172" s="6">
        <f t="shared" si="96"/>
        <v>1684.9063640310915</v>
      </c>
      <c r="O172" s="6">
        <f t="shared" si="97"/>
        <v>0.10569056382082205</v>
      </c>
      <c r="P172" s="6">
        <f t="shared" si="98"/>
        <v>0.46634052684906441</v>
      </c>
      <c r="Q172" s="6">
        <f t="shared" si="99"/>
        <v>1.4619060705143835E-2</v>
      </c>
      <c r="R172" s="6">
        <f t="shared" si="100"/>
        <v>1.6869571772996233E-2</v>
      </c>
      <c r="S172" s="6">
        <f t="shared" si="101"/>
        <v>2.3603421300870984E-2</v>
      </c>
      <c r="T172" s="6">
        <f t="shared" si="102"/>
        <v>0.37287685555110239</v>
      </c>
      <c r="V172" s="6">
        <f t="shared" si="103"/>
        <v>18.495848668643859</v>
      </c>
      <c r="W172" s="6">
        <f t="shared" si="104"/>
        <v>81.60959219858627</v>
      </c>
      <c r="X172" s="6">
        <f t="shared" si="105"/>
        <v>2.5583356234001711</v>
      </c>
      <c r="Y172" s="6">
        <f t="shared" si="106"/>
        <v>2.9521750602743406</v>
      </c>
      <c r="Z172" s="6">
        <f t="shared" si="107"/>
        <v>4.1305987276524219</v>
      </c>
      <c r="AA172" s="6">
        <f t="shared" si="108"/>
        <v>65.253449721442919</v>
      </c>
      <c r="AC172" s="14">
        <f t="shared" si="109"/>
        <v>1.0352322193575665E-2</v>
      </c>
      <c r="AD172" s="17"/>
      <c r="AE172" s="15">
        <f t="shared" si="110"/>
        <v>1.0662414019111402E-2</v>
      </c>
    </row>
    <row r="173" spans="2:31" x14ac:dyDescent="0.2">
      <c r="B173" s="6">
        <f t="shared" si="86"/>
        <v>158</v>
      </c>
      <c r="C173" s="6">
        <f t="shared" si="87"/>
        <v>42.691507902319046</v>
      </c>
      <c r="D173" s="6">
        <f t="shared" si="88"/>
        <v>1409.7169300773007</v>
      </c>
      <c r="E173" s="6">
        <f t="shared" si="89"/>
        <v>0.43182598072426881</v>
      </c>
      <c r="F173" s="6">
        <f t="shared" si="90"/>
        <v>0.43313555882917643</v>
      </c>
      <c r="H173" s="6">
        <f t="shared" si="91"/>
        <v>476.70944895249755</v>
      </c>
      <c r="I173" s="6">
        <f t="shared" si="92"/>
        <v>2105.5083890480291</v>
      </c>
      <c r="J173" s="6">
        <f t="shared" si="93"/>
        <v>66.487751766327193</v>
      </c>
      <c r="K173" s="6">
        <f t="shared" si="94"/>
        <v>76.66991469969966</v>
      </c>
      <c r="L173" s="6">
        <f t="shared" si="95"/>
        <v>107.52702247050816</v>
      </c>
      <c r="M173" s="6">
        <f t="shared" si="96"/>
        <v>1684.9063640310915</v>
      </c>
      <c r="O173" s="6">
        <f t="shared" si="97"/>
        <v>0.10551784293167391</v>
      </c>
      <c r="P173" s="6">
        <f t="shared" si="98"/>
        <v>0.46604636005238914</v>
      </c>
      <c r="Q173" s="6">
        <f t="shared" si="99"/>
        <v>1.4716813696844768E-2</v>
      </c>
      <c r="R173" s="6">
        <f t="shared" si="100"/>
        <v>1.6970597152299975E-2</v>
      </c>
      <c r="S173" s="6">
        <f t="shared" si="101"/>
        <v>2.3800701859140707E-2</v>
      </c>
      <c r="T173" s="6">
        <f t="shared" si="102"/>
        <v>0.37294768430765135</v>
      </c>
      <c r="V173" s="6">
        <f t="shared" si="103"/>
        <v>18.465622513042934</v>
      </c>
      <c r="W173" s="6">
        <f t="shared" si="104"/>
        <v>81.558113009168096</v>
      </c>
      <c r="X173" s="6">
        <f t="shared" si="105"/>
        <v>2.5754423969478344</v>
      </c>
      <c r="Y173" s="6">
        <f t="shared" si="106"/>
        <v>2.9698545016524958</v>
      </c>
      <c r="Z173" s="6">
        <f t="shared" si="107"/>
        <v>4.1651228253496235</v>
      </c>
      <c r="AA173" s="6">
        <f t="shared" si="108"/>
        <v>65.265844753838991</v>
      </c>
      <c r="AC173" s="14">
        <f t="shared" si="109"/>
        <v>1.0115032284929238E-2</v>
      </c>
      <c r="AD173" s="17"/>
      <c r="AE173" s="15">
        <f t="shared" si="110"/>
        <v>1.0145707662053513E-2</v>
      </c>
    </row>
    <row r="174" spans="2:31" x14ac:dyDescent="0.2">
      <c r="B174" s="6">
        <f t="shared" si="86"/>
        <v>159</v>
      </c>
      <c r="C174" s="6">
        <f t="shared" si="87"/>
        <v>43.97225313938862</v>
      </c>
      <c r="D174" s="6">
        <f t="shared" si="88"/>
        <v>1452.4084379796197</v>
      </c>
      <c r="E174" s="6">
        <f t="shared" si="89"/>
        <v>0.43469268047310772</v>
      </c>
      <c r="F174" s="6">
        <f t="shared" si="90"/>
        <v>0.42379939623435053</v>
      </c>
      <c r="H174" s="6">
        <f t="shared" si="91"/>
        <v>475.84448741294409</v>
      </c>
      <c r="I174" s="6">
        <f t="shared" si="92"/>
        <v>2103.7797755470269</v>
      </c>
      <c r="J174" s="6">
        <f t="shared" si="93"/>
        <v>66.919577747051463</v>
      </c>
      <c r="K174" s="6">
        <f t="shared" si="94"/>
        <v>77.103050258528839</v>
      </c>
      <c r="L174" s="6">
        <f t="shared" si="95"/>
        <v>108.39198401006161</v>
      </c>
      <c r="M174" s="6">
        <f t="shared" si="96"/>
        <v>1684.9063640310915</v>
      </c>
      <c r="O174" s="6">
        <f t="shared" si="97"/>
        <v>0.10534652563500732</v>
      </c>
      <c r="P174" s="6">
        <f t="shared" si="98"/>
        <v>0.46575277410484106</v>
      </c>
      <c r="Q174" s="6">
        <f t="shared" si="99"/>
        <v>1.4815228922670615E-2</v>
      </c>
      <c r="R174" s="6">
        <f t="shared" si="100"/>
        <v>1.7069733233136146E-2</v>
      </c>
      <c r="S174" s="6">
        <f t="shared" si="101"/>
        <v>2.3996745206036073E-2</v>
      </c>
      <c r="T174" s="6">
        <f t="shared" si="102"/>
        <v>0.37301899289830875</v>
      </c>
      <c r="V174" s="6">
        <f t="shared" si="103"/>
        <v>18.435641986126281</v>
      </c>
      <c r="W174" s="6">
        <f t="shared" si="104"/>
        <v>81.506735468347188</v>
      </c>
      <c r="X174" s="6">
        <f t="shared" si="105"/>
        <v>2.5926650614673576</v>
      </c>
      <c r="Y174" s="6">
        <f t="shared" si="106"/>
        <v>2.9872033157988254</v>
      </c>
      <c r="Z174" s="6">
        <f t="shared" si="107"/>
        <v>4.199430411056313</v>
      </c>
      <c r="AA174" s="6">
        <f t="shared" si="108"/>
        <v>65.278323757204035</v>
      </c>
      <c r="AC174" s="14">
        <f t="shared" si="109"/>
        <v>9.8856130727521686E-3</v>
      </c>
      <c r="AD174" s="17"/>
      <c r="AE174" s="15">
        <f t="shared" si="110"/>
        <v>9.6378822092863751E-3</v>
      </c>
    </row>
    <row r="175" spans="2:31" x14ac:dyDescent="0.2">
      <c r="B175" s="6">
        <f t="shared" si="86"/>
        <v>160</v>
      </c>
      <c r="C175" s="6">
        <f t="shared" si="87"/>
        <v>45.291420733570277</v>
      </c>
      <c r="D175" s="6">
        <f t="shared" si="88"/>
        <v>1496.3806911190084</v>
      </c>
      <c r="E175" s="6">
        <f t="shared" si="89"/>
        <v>0.43768874989019785</v>
      </c>
      <c r="F175" s="6">
        <f t="shared" si="90"/>
        <v>0.41392505028441307</v>
      </c>
      <c r="H175" s="6">
        <f t="shared" si="91"/>
        <v>474.98599533623661</v>
      </c>
      <c r="I175" s="6">
        <f t="shared" si="92"/>
        <v>2102.0518981093733</v>
      </c>
      <c r="J175" s="6">
        <f t="shared" si="93"/>
        <v>67.354270427524568</v>
      </c>
      <c r="K175" s="6">
        <f t="shared" si="94"/>
        <v>77.526849654763183</v>
      </c>
      <c r="L175" s="6">
        <f t="shared" si="95"/>
        <v>109.25047608676905</v>
      </c>
      <c r="M175" s="6">
        <f t="shared" si="96"/>
        <v>1684.9063640310915</v>
      </c>
      <c r="O175" s="6">
        <f t="shared" si="97"/>
        <v>0.10517670887941083</v>
      </c>
      <c r="P175" s="6">
        <f t="shared" si="98"/>
        <v>0.46545982977952405</v>
      </c>
      <c r="Q175" s="6">
        <f t="shared" si="99"/>
        <v>1.4914335500620636E-2</v>
      </c>
      <c r="R175" s="6">
        <f t="shared" si="100"/>
        <v>1.7166861710743182E-2</v>
      </c>
      <c r="S175" s="6">
        <f t="shared" si="101"/>
        <v>2.4191461708636456E-2</v>
      </c>
      <c r="T175" s="6">
        <f t="shared" si="102"/>
        <v>0.3730908024210649</v>
      </c>
      <c r="V175" s="6">
        <f t="shared" si="103"/>
        <v>18.405924053896896</v>
      </c>
      <c r="W175" s="6">
        <f t="shared" si="104"/>
        <v>81.45547021141671</v>
      </c>
      <c r="X175" s="6">
        <f t="shared" si="105"/>
        <v>2.6100087126086113</v>
      </c>
      <c r="Y175" s="6">
        <f t="shared" si="106"/>
        <v>3.0042007993800568</v>
      </c>
      <c r="Z175" s="6">
        <f t="shared" si="107"/>
        <v>4.2335057990113798</v>
      </c>
      <c r="AA175" s="6">
        <f t="shared" si="108"/>
        <v>65.290890423686363</v>
      </c>
      <c r="AC175" s="14">
        <f t="shared" si="109"/>
        <v>9.6638335208102735E-3</v>
      </c>
      <c r="AD175" s="17"/>
      <c r="AE175" s="15">
        <f t="shared" si="110"/>
        <v>9.1391491717461026E-3</v>
      </c>
    </row>
    <row r="176" spans="2:31" x14ac:dyDescent="0.2">
      <c r="B176" s="6">
        <f t="shared" si="86"/>
        <v>161</v>
      </c>
      <c r="C176" s="6">
        <f t="shared" si="87"/>
        <v>46.650163355577384</v>
      </c>
      <c r="D176" s="6">
        <f t="shared" si="88"/>
        <v>1541.6721118525786</v>
      </c>
      <c r="E176" s="6">
        <f t="shared" si="89"/>
        <v>0.44081922426818759</v>
      </c>
      <c r="F176" s="6">
        <f t="shared" si="90"/>
        <v>0.40351082849803804</v>
      </c>
      <c r="H176" s="6">
        <f t="shared" si="91"/>
        <v>474.13438153606199</v>
      </c>
      <c r="I176" s="6">
        <f t="shared" si="92"/>
        <v>2100.3249068094183</v>
      </c>
      <c r="J176" s="6">
        <f t="shared" si="93"/>
        <v>67.791959177414768</v>
      </c>
      <c r="K176" s="6">
        <f t="shared" si="94"/>
        <v>77.940774705047602</v>
      </c>
      <c r="L176" s="6">
        <f t="shared" si="95"/>
        <v>110.10208988694367</v>
      </c>
      <c r="M176" s="6">
        <f t="shared" si="96"/>
        <v>1684.9063640310915</v>
      </c>
      <c r="O176" s="6">
        <f t="shared" si="97"/>
        <v>0.10500848944381028</v>
      </c>
      <c r="P176" s="6">
        <f t="shared" si="98"/>
        <v>0.46516758622469506</v>
      </c>
      <c r="Q176" s="6">
        <f t="shared" si="99"/>
        <v>1.5014163719986071E-2</v>
      </c>
      <c r="R176" s="6">
        <f t="shared" si="100"/>
        <v>1.7261863590955148E-2</v>
      </c>
      <c r="S176" s="6">
        <f t="shared" si="101"/>
        <v>2.4384762197961828E-2</v>
      </c>
      <c r="T176" s="6">
        <f t="shared" si="102"/>
        <v>0.37316313482259167</v>
      </c>
      <c r="V176" s="6">
        <f t="shared" si="103"/>
        <v>18.376485652666798</v>
      </c>
      <c r="W176" s="6">
        <f t="shared" si="104"/>
        <v>81.404327589321639</v>
      </c>
      <c r="X176" s="6">
        <f t="shared" si="105"/>
        <v>2.6274786509975625</v>
      </c>
      <c r="Y176" s="6">
        <f t="shared" si="106"/>
        <v>3.0208261284171511</v>
      </c>
      <c r="Z176" s="6">
        <f t="shared" si="107"/>
        <v>4.2673333846433197</v>
      </c>
      <c r="AA176" s="6">
        <f t="shared" si="108"/>
        <v>65.303548593953536</v>
      </c>
      <c r="AC176" s="14">
        <f t="shared" si="109"/>
        <v>9.4494679666643506E-3</v>
      </c>
      <c r="AD176" s="17"/>
      <c r="AE176" s="15">
        <f t="shared" si="110"/>
        <v>8.6497195180731401E-3</v>
      </c>
    </row>
    <row r="177" spans="2:31" x14ac:dyDescent="0.2">
      <c r="B177" s="6">
        <f t="shared" si="86"/>
        <v>162</v>
      </c>
      <c r="C177" s="6">
        <f t="shared" si="87"/>
        <v>48.049668256244708</v>
      </c>
      <c r="D177" s="6">
        <f t="shared" si="88"/>
        <v>1588.322275208156</v>
      </c>
      <c r="E177" s="6">
        <f t="shared" si="89"/>
        <v>0.44408925396294868</v>
      </c>
      <c r="F177" s="6">
        <f t="shared" si="90"/>
        <v>0.39255632252530059</v>
      </c>
      <c r="H177" s="6">
        <f t="shared" si="91"/>
        <v>473.29005148329577</v>
      </c>
      <c r="I177" s="6">
        <f t="shared" si="92"/>
        <v>2098.598938308116</v>
      </c>
      <c r="J177" s="6">
        <f t="shared" si="93"/>
        <v>68.23277840168295</v>
      </c>
      <c r="K177" s="6">
        <f t="shared" si="94"/>
        <v>78.344285533545644</v>
      </c>
      <c r="L177" s="6">
        <f t="shared" si="95"/>
        <v>110.9464199397099</v>
      </c>
      <c r="M177" s="6">
        <f t="shared" si="96"/>
        <v>1684.9063640310915</v>
      </c>
      <c r="O177" s="6">
        <f t="shared" si="97"/>
        <v>0.1048419636493156</v>
      </c>
      <c r="P177" s="6">
        <f t="shared" si="98"/>
        <v>0.46487610063858947</v>
      </c>
      <c r="Q177" s="6">
        <f t="shared" si="99"/>
        <v>1.5114745071149103E-2</v>
      </c>
      <c r="R177" s="6">
        <f t="shared" si="100"/>
        <v>1.7354619456499371E-2</v>
      </c>
      <c r="S177" s="6">
        <f t="shared" si="101"/>
        <v>2.4576558264612712E-2</v>
      </c>
      <c r="T177" s="6">
        <f t="shared" si="102"/>
        <v>0.37323601291983383</v>
      </c>
      <c r="V177" s="6">
        <f t="shared" si="103"/>
        <v>18.347343638630228</v>
      </c>
      <c r="W177" s="6">
        <f t="shared" si="104"/>
        <v>81.353317611753155</v>
      </c>
      <c r="X177" s="6">
        <f t="shared" si="105"/>
        <v>2.6450803874510931</v>
      </c>
      <c r="Y177" s="6">
        <f t="shared" si="106"/>
        <v>3.0370584048873899</v>
      </c>
      <c r="Z177" s="6">
        <f t="shared" si="107"/>
        <v>4.3008976963072243</v>
      </c>
      <c r="AA177" s="6">
        <f t="shared" si="108"/>
        <v>65.316302260970915</v>
      </c>
      <c r="AC177" s="14">
        <f t="shared" si="109"/>
        <v>9.2422959424955705E-3</v>
      </c>
      <c r="AD177" s="17"/>
      <c r="AE177" s="15">
        <f t="shared" si="110"/>
        <v>8.1698029720378464E-3</v>
      </c>
    </row>
    <row r="178" spans="2:31" x14ac:dyDescent="0.2">
      <c r="B178" s="6">
        <f t="shared" si="86"/>
        <v>163</v>
      </c>
      <c r="C178" s="6">
        <f t="shared" si="87"/>
        <v>49.491158303932053</v>
      </c>
      <c r="D178" s="6">
        <f t="shared" si="88"/>
        <v>1636.3719434644008</v>
      </c>
      <c r="E178" s="6">
        <f t="shared" si="89"/>
        <v>0.44750410133716334</v>
      </c>
      <c r="F178" s="6">
        <f t="shared" si="90"/>
        <v>0.38106248225641109</v>
      </c>
      <c r="H178" s="6">
        <f t="shared" si="91"/>
        <v>472.45340590680752</v>
      </c>
      <c r="I178" s="6">
        <f t="shared" si="92"/>
        <v>2096.8741142237018</v>
      </c>
      <c r="J178" s="6">
        <f t="shared" si="93"/>
        <v>68.676867655645893</v>
      </c>
      <c r="K178" s="6">
        <f t="shared" si="94"/>
        <v>78.736841856070939</v>
      </c>
      <c r="L178" s="6">
        <f t="shared" si="95"/>
        <v>111.78306551619814</v>
      </c>
      <c r="M178" s="6">
        <f t="shared" si="96"/>
        <v>1684.9063640310915</v>
      </c>
      <c r="O178" s="6">
        <f t="shared" si="97"/>
        <v>0.10467722705451883</v>
      </c>
      <c r="P178" s="6">
        <f t="shared" si="98"/>
        <v>0.46458542792817403</v>
      </c>
      <c r="Q178" s="6">
        <f t="shared" si="99"/>
        <v>1.5216112274997997E-2</v>
      </c>
      <c r="R178" s="6">
        <f t="shared" si="100"/>
        <v>1.7445009750124276E-2</v>
      </c>
      <c r="S178" s="6">
        <f t="shared" si="101"/>
        <v>2.4766762570862494E-2</v>
      </c>
      <c r="T178" s="6">
        <f t="shared" si="102"/>
        <v>0.3733094604213224</v>
      </c>
      <c r="V178" s="6">
        <f t="shared" si="103"/>
        <v>18.318514734540795</v>
      </c>
      <c r="W178" s="6">
        <f t="shared" si="104"/>
        <v>81.302449887430456</v>
      </c>
      <c r="X178" s="6">
        <f t="shared" si="105"/>
        <v>2.6628196481246493</v>
      </c>
      <c r="Y178" s="6">
        <f t="shared" si="106"/>
        <v>3.0528767062717481</v>
      </c>
      <c r="Z178" s="6">
        <f t="shared" si="107"/>
        <v>4.3341834499009364</v>
      </c>
      <c r="AA178" s="6">
        <f t="shared" si="108"/>
        <v>65.329155573731427</v>
      </c>
      <c r="AC178" s="14">
        <f t="shared" si="109"/>
        <v>9.0421019970674098E-3</v>
      </c>
      <c r="AD178" s="17"/>
      <c r="AE178" s="15">
        <f t="shared" si="110"/>
        <v>7.6996072695703268E-3</v>
      </c>
    </row>
    <row r="179" spans="2:31" x14ac:dyDescent="0.2">
      <c r="B179" s="6">
        <f t="shared" si="86"/>
        <v>164</v>
      </c>
      <c r="C179" s="6">
        <f t="shared" si="87"/>
        <v>50.975893053050015</v>
      </c>
      <c r="D179" s="6">
        <f t="shared" si="88"/>
        <v>1685.8631017683329</v>
      </c>
      <c r="E179" s="6">
        <f t="shared" si="89"/>
        <v>0.45106913690501693</v>
      </c>
      <c r="F179" s="6">
        <f t="shared" si="90"/>
        <v>0.36903168786916329</v>
      </c>
      <c r="H179" s="6">
        <f t="shared" si="91"/>
        <v>471.62483932321391</v>
      </c>
      <c r="I179" s="6">
        <f t="shared" si="92"/>
        <v>2095.150539437434</v>
      </c>
      <c r="J179" s="6">
        <f t="shared" si="93"/>
        <v>69.124371756983052</v>
      </c>
      <c r="K179" s="6">
        <f t="shared" si="94"/>
        <v>79.117904338327349</v>
      </c>
      <c r="L179" s="6">
        <f t="shared" si="95"/>
        <v>112.61163209979171</v>
      </c>
      <c r="M179" s="6">
        <f t="shared" si="96"/>
        <v>1684.9063640310915</v>
      </c>
      <c r="O179" s="6">
        <f t="shared" si="97"/>
        <v>0.10451437413465638</v>
      </c>
      <c r="P179" s="6">
        <f t="shared" si="98"/>
        <v>0.46429562035243926</v>
      </c>
      <c r="Q179" s="6">
        <f t="shared" si="99"/>
        <v>1.5318299311799635E-2</v>
      </c>
      <c r="R179" s="6">
        <f t="shared" si="100"/>
        <v>1.7532915074260996E-2</v>
      </c>
      <c r="S179" s="6">
        <f t="shared" si="101"/>
        <v>2.4955289178749156E-2</v>
      </c>
      <c r="T179" s="6">
        <f t="shared" si="102"/>
        <v>0.37338350194809455</v>
      </c>
      <c r="V179" s="6">
        <f t="shared" si="103"/>
        <v>18.290015473564864</v>
      </c>
      <c r="W179" s="6">
        <f t="shared" si="104"/>
        <v>81.251733561676872</v>
      </c>
      <c r="X179" s="6">
        <f t="shared" si="105"/>
        <v>2.6807023795649361</v>
      </c>
      <c r="Y179" s="6">
        <f t="shared" si="106"/>
        <v>3.0682601379956744</v>
      </c>
      <c r="Z179" s="6">
        <f t="shared" si="107"/>
        <v>4.3671756062811022</v>
      </c>
      <c r="AA179" s="6">
        <f t="shared" si="108"/>
        <v>65.342112840916542</v>
      </c>
      <c r="AC179" s="14">
        <f t="shared" si="109"/>
        <v>8.8486755187514726E-3</v>
      </c>
      <c r="AD179" s="17"/>
      <c r="AE179" s="15">
        <f t="shared" si="110"/>
        <v>7.2393373762989566E-3</v>
      </c>
    </row>
    <row r="180" spans="2:31" x14ac:dyDescent="0.2">
      <c r="B180" s="6">
        <f t="shared" si="86"/>
        <v>165</v>
      </c>
      <c r="C180" s="6">
        <f t="shared" si="87"/>
        <v>52.505169844641514</v>
      </c>
      <c r="D180" s="6">
        <f t="shared" si="88"/>
        <v>1736.8389948213828</v>
      </c>
      <c r="E180" s="6">
        <f t="shared" si="89"/>
        <v>0.45478983459294403</v>
      </c>
      <c r="F180" s="6">
        <f t="shared" si="90"/>
        <v>0.35646781909417252</v>
      </c>
      <c r="H180" s="6">
        <f t="shared" si="91"/>
        <v>470.80473849843975</v>
      </c>
      <c r="I180" s="6">
        <f t="shared" si="92"/>
        <v>2093.4283003388496</v>
      </c>
      <c r="J180" s="6">
        <f t="shared" si="93"/>
        <v>69.575440893888072</v>
      </c>
      <c r="K180" s="6">
        <f t="shared" si="94"/>
        <v>79.486936026196517</v>
      </c>
      <c r="L180" s="6">
        <f t="shared" si="95"/>
        <v>113.43173292456589</v>
      </c>
      <c r="M180" s="6">
        <f t="shared" si="96"/>
        <v>1684.9063640310915</v>
      </c>
      <c r="O180" s="6">
        <f t="shared" si="97"/>
        <v>0.10435349794520997</v>
      </c>
      <c r="P180" s="6">
        <f t="shared" si="98"/>
        <v>0.46400672715102353</v>
      </c>
      <c r="Q180" s="6">
        <f t="shared" si="99"/>
        <v>1.5421341449352229E-2</v>
      </c>
      <c r="R180" s="6">
        <f t="shared" si="100"/>
        <v>1.7618216506774226E-2</v>
      </c>
      <c r="S180" s="6">
        <f t="shared" si="101"/>
        <v>2.5142053893547463E-2</v>
      </c>
      <c r="T180" s="6">
        <f t="shared" si="102"/>
        <v>0.37345816305409252</v>
      </c>
      <c r="V180" s="6">
        <f t="shared" si="103"/>
        <v>18.261862140411743</v>
      </c>
      <c r="W180" s="6">
        <f t="shared" si="104"/>
        <v>81.201177251429115</v>
      </c>
      <c r="X180" s="6">
        <f t="shared" si="105"/>
        <v>2.6987347536366402</v>
      </c>
      <c r="Y180" s="6">
        <f t="shared" si="106"/>
        <v>3.0831878886854893</v>
      </c>
      <c r="Z180" s="6">
        <f t="shared" si="107"/>
        <v>4.3998594313708059</v>
      </c>
      <c r="AA180" s="6">
        <f t="shared" si="108"/>
        <v>65.355178534466191</v>
      </c>
      <c r="AC180" s="14">
        <f t="shared" si="109"/>
        <v>8.6618105595816525E-3</v>
      </c>
      <c r="AD180" s="17"/>
      <c r="AE180" s="15">
        <f t="shared" si="110"/>
        <v>6.789194666904831E-3</v>
      </c>
    </row>
    <row r="181" spans="2:31" x14ac:dyDescent="0.2">
      <c r="B181" s="6">
        <f t="shared" si="86"/>
        <v>166</v>
      </c>
      <c r="C181" s="6">
        <f t="shared" si="87"/>
        <v>54.080324939980763</v>
      </c>
      <c r="D181" s="6">
        <f t="shared" si="88"/>
        <v>1789.3441646660244</v>
      </c>
      <c r="E181" s="6">
        <f t="shared" si="89"/>
        <v>0.45867176602659165</v>
      </c>
      <c r="F181" s="6">
        <f t="shared" si="90"/>
        <v>0.3433763209255617</v>
      </c>
      <c r="H181" s="6">
        <f t="shared" si="91"/>
        <v>469.99348084475264</v>
      </c>
      <c r="I181" s="6">
        <f t="shared" si="92"/>
        <v>2091.7074630159764</v>
      </c>
      <c r="J181" s="6">
        <f t="shared" si="93"/>
        <v>70.030230728481015</v>
      </c>
      <c r="K181" s="6">
        <f t="shared" si="94"/>
        <v>79.843403845290695</v>
      </c>
      <c r="L181" s="6">
        <f t="shared" si="95"/>
        <v>114.24299057825301</v>
      </c>
      <c r="M181" s="6">
        <f t="shared" si="96"/>
        <v>1684.9063640310915</v>
      </c>
      <c r="O181" s="6">
        <f t="shared" si="97"/>
        <v>0.104194689770695</v>
      </c>
      <c r="P181" s="6">
        <f t="shared" si="98"/>
        <v>0.46371879415916462</v>
      </c>
      <c r="Q181" s="6">
        <f t="shared" si="99"/>
        <v>1.552527527022131E-2</v>
      </c>
      <c r="R181" s="6">
        <f t="shared" si="100"/>
        <v>1.7700795932198008E-2</v>
      </c>
      <c r="S181" s="6">
        <f t="shared" si="101"/>
        <v>2.5326974621823425E-2</v>
      </c>
      <c r="T181" s="6">
        <f t="shared" si="102"/>
        <v>0.37353347024589761</v>
      </c>
      <c r="V181" s="6">
        <f t="shared" si="103"/>
        <v>18.234070709871624</v>
      </c>
      <c r="W181" s="6">
        <f t="shared" si="104"/>
        <v>81.150788977853807</v>
      </c>
      <c r="X181" s="6">
        <f t="shared" si="105"/>
        <v>2.7169231722887295</v>
      </c>
      <c r="Y181" s="6">
        <f t="shared" si="106"/>
        <v>3.0976392881346513</v>
      </c>
      <c r="Z181" s="6">
        <f t="shared" si="107"/>
        <v>4.4322205588190995</v>
      </c>
      <c r="AA181" s="6">
        <f t="shared" si="108"/>
        <v>65.368357293032076</v>
      </c>
      <c r="AC181" s="14">
        <f t="shared" si="109"/>
        <v>8.4813056603419666E-3</v>
      </c>
      <c r="AD181" s="17"/>
      <c r="AE181" s="15">
        <f t="shared" si="110"/>
        <v>6.3493760680366921E-3</v>
      </c>
    </row>
    <row r="182" spans="2:31" x14ac:dyDescent="0.2">
      <c r="B182" s="6">
        <f t="shared" si="86"/>
        <v>167</v>
      </c>
      <c r="C182" s="6">
        <f t="shared" si="87"/>
        <v>55.702734688180186</v>
      </c>
      <c r="D182" s="6">
        <f t="shared" si="88"/>
        <v>1843.4244896060052</v>
      </c>
      <c r="E182" s="6">
        <f t="shared" si="89"/>
        <v>0.46272059374974389</v>
      </c>
      <c r="F182" s="6">
        <f t="shared" si="90"/>
        <v>0.3297642649561825</v>
      </c>
      <c r="H182" s="6">
        <f t="shared" si="91"/>
        <v>469.19143275780044</v>
      </c>
      <c r="I182" s="6">
        <f t="shared" si="92"/>
        <v>2089.988071396971</v>
      </c>
      <c r="J182" s="6">
        <f t="shared" si="93"/>
        <v>70.488902494507613</v>
      </c>
      <c r="K182" s="6">
        <f t="shared" si="94"/>
        <v>80.186780166216252</v>
      </c>
      <c r="L182" s="6">
        <f t="shared" si="95"/>
        <v>115.04503866520517</v>
      </c>
      <c r="M182" s="6">
        <f t="shared" si="96"/>
        <v>1684.9063640310915</v>
      </c>
      <c r="O182" s="6">
        <f t="shared" si="97"/>
        <v>0.10403803875957186</v>
      </c>
      <c r="P182" s="6">
        <f t="shared" si="98"/>
        <v>0.46343186341018272</v>
      </c>
      <c r="Q182" s="6">
        <f t="shared" si="99"/>
        <v>1.5630138697841224E-2</v>
      </c>
      <c r="R182" s="6">
        <f t="shared" si="100"/>
        <v>1.7780536387680616E-2</v>
      </c>
      <c r="S182" s="6">
        <f t="shared" si="101"/>
        <v>2.5509971743080746E-2</v>
      </c>
      <c r="T182" s="6">
        <f t="shared" si="102"/>
        <v>0.37360945100164272</v>
      </c>
      <c r="V182" s="6">
        <f t="shared" si="103"/>
        <v>18.206656782925076</v>
      </c>
      <c r="W182" s="6">
        <f t="shared" si="104"/>
        <v>81.100576096781978</v>
      </c>
      <c r="X182" s="6">
        <f t="shared" si="105"/>
        <v>2.7352742721222141</v>
      </c>
      <c r="Y182" s="6">
        <f t="shared" si="106"/>
        <v>3.1115938678441077</v>
      </c>
      <c r="Z182" s="6">
        <f t="shared" si="107"/>
        <v>4.4642450550391306</v>
      </c>
      <c r="AA182" s="6">
        <f t="shared" si="108"/>
        <v>65.38165392528748</v>
      </c>
      <c r="AC182" s="14">
        <f t="shared" si="109"/>
        <v>8.3069636767390282E-3</v>
      </c>
      <c r="AD182" s="17"/>
      <c r="AE182" s="15">
        <f t="shared" si="110"/>
        <v>5.9200731670029953E-3</v>
      </c>
    </row>
    <row r="183" spans="2:31" x14ac:dyDescent="0.2">
      <c r="B183" s="6">
        <f t="shared" si="86"/>
        <v>168</v>
      </c>
      <c r="C183" s="6">
        <f t="shared" si="87"/>
        <v>57.373816728825595</v>
      </c>
      <c r="D183" s="6">
        <f t="shared" si="88"/>
        <v>1899.1272242941855</v>
      </c>
      <c r="E183" s="6">
        <f t="shared" si="89"/>
        <v>0.46694206327698101</v>
      </c>
      <c r="F183" s="6">
        <f t="shared" si="90"/>
        <v>0.31564040547177974</v>
      </c>
      <c r="H183" s="6">
        <f t="shared" si="91"/>
        <v>468.39894789909454</v>
      </c>
      <c r="I183" s="6">
        <f t="shared" si="92"/>
        <v>2088.2701453507652</v>
      </c>
      <c r="J183" s="6">
        <f t="shared" si="93"/>
        <v>70.951623088257364</v>
      </c>
      <c r="K183" s="6">
        <f t="shared" si="94"/>
        <v>80.516544431172434</v>
      </c>
      <c r="L183" s="6">
        <f t="shared" si="95"/>
        <v>115.8375235239111</v>
      </c>
      <c r="M183" s="6">
        <f t="shared" si="96"/>
        <v>1684.9063640310915</v>
      </c>
      <c r="O183" s="6">
        <f t="shared" si="97"/>
        <v>0.10388363154641439</v>
      </c>
      <c r="P183" s="6">
        <f t="shared" si="98"/>
        <v>0.4631459727269287</v>
      </c>
      <c r="Q183" s="6">
        <f t="shared" si="99"/>
        <v>1.5735971021242433E-2</v>
      </c>
      <c r="R183" s="6">
        <f t="shared" si="100"/>
        <v>1.7857322422680424E-2</v>
      </c>
      <c r="S183" s="6">
        <f t="shared" si="101"/>
        <v>2.5690968493805092E-2</v>
      </c>
      <c r="T183" s="6">
        <f t="shared" si="102"/>
        <v>0.37368613378892906</v>
      </c>
      <c r="V183" s="6">
        <f t="shared" si="103"/>
        <v>18.179635520622519</v>
      </c>
      <c r="W183" s="6">
        <f t="shared" si="104"/>
        <v>81.050545227212524</v>
      </c>
      <c r="X183" s="6">
        <f t="shared" si="105"/>
        <v>2.7537949287174257</v>
      </c>
      <c r="Y183" s="6">
        <f t="shared" si="106"/>
        <v>3.125031423969074</v>
      </c>
      <c r="Z183" s="6">
        <f t="shared" si="107"/>
        <v>4.4959194864158913</v>
      </c>
      <c r="AA183" s="6">
        <f t="shared" si="108"/>
        <v>65.39507341306259</v>
      </c>
      <c r="AC183" s="14">
        <f t="shared" si="109"/>
        <v>8.1385916067595564E-3</v>
      </c>
      <c r="AD183" s="17"/>
      <c r="AE183" s="15">
        <f t="shared" si="110"/>
        <v>5.5014712889616168E-3</v>
      </c>
    </row>
    <row r="184" spans="2:31" x14ac:dyDescent="0.2">
      <c r="B184" s="6">
        <f t="shared" si="86"/>
        <v>169</v>
      </c>
      <c r="C184" s="6">
        <f t="shared" si="87"/>
        <v>59.095031230690367</v>
      </c>
      <c r="D184" s="6">
        <f t="shared" si="88"/>
        <v>1956.5010410230111</v>
      </c>
      <c r="E184" s="6">
        <f t="shared" si="89"/>
        <v>0.4713419938785694</v>
      </c>
      <c r="F184" s="6">
        <f t="shared" si="90"/>
        <v>0.30101522939908198</v>
      </c>
      <c r="H184" s="6">
        <f t="shared" si="91"/>
        <v>467.61636543034581</v>
      </c>
      <c r="I184" s="6">
        <f t="shared" si="92"/>
        <v>2086.5536787554624</v>
      </c>
      <c r="J184" s="6">
        <f t="shared" si="93"/>
        <v>71.418565151534338</v>
      </c>
      <c r="K184" s="6">
        <f t="shared" si="94"/>
        <v>80.832184836644217</v>
      </c>
      <c r="L184" s="6">
        <f t="shared" si="95"/>
        <v>116.62010599265986</v>
      </c>
      <c r="M184" s="6">
        <f t="shared" si="96"/>
        <v>1684.9063640310915</v>
      </c>
      <c r="O184" s="6">
        <f t="shared" si="97"/>
        <v>0.10373155186267816</v>
      </c>
      <c r="P184" s="6">
        <f t="shared" si="98"/>
        <v>0.46286115530386496</v>
      </c>
      <c r="Q184" s="6">
        <f t="shared" si="99"/>
        <v>1.5842812918141894E-2</v>
      </c>
      <c r="R184" s="6">
        <f t="shared" si="100"/>
        <v>1.7931040471261948E-2</v>
      </c>
      <c r="S184" s="6">
        <f t="shared" si="101"/>
        <v>2.5869891362496737E-2</v>
      </c>
      <c r="T184" s="6">
        <f t="shared" si="102"/>
        <v>0.37376354808155632</v>
      </c>
      <c r="V184" s="6">
        <f t="shared" si="103"/>
        <v>18.153021575968676</v>
      </c>
      <c r="W184" s="6">
        <f t="shared" si="104"/>
        <v>81.000702178176368</v>
      </c>
      <c r="X184" s="6">
        <f t="shared" si="105"/>
        <v>2.7724922606748312</v>
      </c>
      <c r="Y184" s="6">
        <f t="shared" si="106"/>
        <v>3.137932082470841</v>
      </c>
      <c r="Z184" s="6">
        <f t="shared" si="107"/>
        <v>4.5272309884369291</v>
      </c>
      <c r="AA184" s="6">
        <f t="shared" si="108"/>
        <v>65.408620914272362</v>
      </c>
      <c r="AC184" s="14">
        <f t="shared" si="109"/>
        <v>7.9760004193683044E-3</v>
      </c>
      <c r="AD184" s="17"/>
      <c r="AE184" s="15">
        <f t="shared" si="110"/>
        <v>5.0937485458634121E-3</v>
      </c>
    </row>
    <row r="185" spans="2:31" x14ac:dyDescent="0.2">
      <c r="B185" s="6">
        <f t="shared" si="86"/>
        <v>170</v>
      </c>
      <c r="C185" s="6">
        <f t="shared" si="87"/>
        <v>60.867882167611079</v>
      </c>
      <c r="D185" s="6">
        <f t="shared" si="88"/>
        <v>2015.5960722537015</v>
      </c>
      <c r="E185" s="6">
        <f t="shared" si="89"/>
        <v>0.47592626799357157</v>
      </c>
      <c r="F185" s="6">
        <f t="shared" si="90"/>
        <v>0.28590099916986933</v>
      </c>
      <c r="H185" s="6">
        <f t="shared" si="91"/>
        <v>466.84400820706816</v>
      </c>
      <c r="I185" s="6">
        <f t="shared" si="92"/>
        <v>2084.8386375444275</v>
      </c>
      <c r="J185" s="6">
        <f t="shared" si="93"/>
        <v>71.889907145412906</v>
      </c>
      <c r="K185" s="6">
        <f t="shared" si="94"/>
        <v>81.133200066043301</v>
      </c>
      <c r="L185" s="6">
        <f t="shared" si="95"/>
        <v>117.39246321593751</v>
      </c>
      <c r="M185" s="6">
        <f t="shared" si="96"/>
        <v>1684.9063640310915</v>
      </c>
      <c r="O185" s="6">
        <f t="shared" si="97"/>
        <v>0.10358188013763188</v>
      </c>
      <c r="P185" s="6">
        <f t="shared" si="98"/>
        <v>0.46257743928170025</v>
      </c>
      <c r="Q185" s="6">
        <f t="shared" si="99"/>
        <v>1.5950706476110028E-2</v>
      </c>
      <c r="R185" s="6">
        <f t="shared" si="100"/>
        <v>1.8001579235640205E-2</v>
      </c>
      <c r="S185" s="6">
        <f t="shared" si="101"/>
        <v>2.6046670494057542E-2</v>
      </c>
      <c r="T185" s="6">
        <f t="shared" si="102"/>
        <v>0.37384172437486002</v>
      </c>
      <c r="V185" s="6">
        <f t="shared" si="103"/>
        <v>18.12682902408558</v>
      </c>
      <c r="W185" s="6">
        <f t="shared" si="104"/>
        <v>80.951051874297548</v>
      </c>
      <c r="X185" s="6">
        <f t="shared" si="105"/>
        <v>2.7913736333192549</v>
      </c>
      <c r="Y185" s="6">
        <f t="shared" si="106"/>
        <v>3.1502763662370361</v>
      </c>
      <c r="Z185" s="6">
        <f t="shared" si="107"/>
        <v>4.5581673364600697</v>
      </c>
      <c r="AA185" s="6">
        <f t="shared" si="108"/>
        <v>65.422301765600508</v>
      </c>
      <c r="AC185" s="14">
        <f t="shared" si="109"/>
        <v>7.8190048847604013E-3</v>
      </c>
      <c r="AD185" s="17"/>
      <c r="AE185" s="15">
        <f t="shared" si="110"/>
        <v>4.6970748609683434E-3</v>
      </c>
    </row>
    <row r="186" spans="2:31" x14ac:dyDescent="0.2">
      <c r="B186" s="6">
        <f t="shared" si="86"/>
        <v>171</v>
      </c>
      <c r="C186" s="6">
        <f t="shared" si="87"/>
        <v>62.693918632639409</v>
      </c>
      <c r="D186" s="6">
        <f t="shared" si="88"/>
        <v>2076.4639544213128</v>
      </c>
      <c r="E186" s="6">
        <f t="shared" si="89"/>
        <v>0.48070081916576712</v>
      </c>
      <c r="F186" s="6">
        <f t="shared" si="90"/>
        <v>0.27031178753819257</v>
      </c>
      <c r="H186" s="6">
        <f t="shared" si="91"/>
        <v>466.08218093990473</v>
      </c>
      <c r="I186" s="6">
        <f t="shared" si="92"/>
        <v>2083.1249577412768</v>
      </c>
      <c r="J186" s="6">
        <f t="shared" si="93"/>
        <v>72.365833413406477</v>
      </c>
      <c r="K186" s="6">
        <f t="shared" si="94"/>
        <v>81.419101065213169</v>
      </c>
      <c r="L186" s="6">
        <f t="shared" si="95"/>
        <v>118.15429048310095</v>
      </c>
      <c r="M186" s="6">
        <f t="shared" si="96"/>
        <v>1684.9063640310915</v>
      </c>
      <c r="O186" s="6">
        <f t="shared" si="97"/>
        <v>0.10343469309124007</v>
      </c>
      <c r="P186" s="6">
        <f t="shared" si="98"/>
        <v>0.46229484731675063</v>
      </c>
      <c r="Q186" s="6">
        <f t="shared" si="99"/>
        <v>1.6059695211503088E-2</v>
      </c>
      <c r="R186" s="6">
        <f t="shared" si="100"/>
        <v>1.8068830079412183E-2</v>
      </c>
      <c r="S186" s="6">
        <f t="shared" si="101"/>
        <v>2.6221240101664704E-2</v>
      </c>
      <c r="T186" s="6">
        <f t="shared" si="102"/>
        <v>0.37392069419942925</v>
      </c>
      <c r="V186" s="6">
        <f t="shared" si="103"/>
        <v>18.10107129096701</v>
      </c>
      <c r="W186" s="6">
        <f t="shared" si="104"/>
        <v>80.901598280431358</v>
      </c>
      <c r="X186" s="6">
        <f t="shared" si="105"/>
        <v>2.8104466620130406</v>
      </c>
      <c r="Y186" s="6">
        <f t="shared" si="106"/>
        <v>3.1620452638971321</v>
      </c>
      <c r="Z186" s="6">
        <f t="shared" si="107"/>
        <v>4.588717017791323</v>
      </c>
      <c r="AA186" s="6">
        <f t="shared" si="108"/>
        <v>65.436121484900113</v>
      </c>
      <c r="AC186" s="14">
        <f t="shared" si="109"/>
        <v>7.6674234064467448E-3</v>
      </c>
      <c r="AD186" s="17"/>
      <c r="AE186" s="15">
        <f t="shared" si="110"/>
        <v>4.3116109733403098E-3</v>
      </c>
    </row>
    <row r="187" spans="2:31" x14ac:dyDescent="0.2">
      <c r="B187" s="6">
        <f t="shared" si="86"/>
        <v>172</v>
      </c>
      <c r="C187" s="6">
        <f t="shared" si="87"/>
        <v>64.574736191618598</v>
      </c>
      <c r="D187" s="6">
        <f t="shared" si="88"/>
        <v>2139.1578730539522</v>
      </c>
      <c r="E187" s="6">
        <f t="shared" si="89"/>
        <v>0.48567161839679274</v>
      </c>
      <c r="F187" s="6">
        <f t="shared" si="90"/>
        <v>0.25426350337262554</v>
      </c>
      <c r="H187" s="6">
        <f t="shared" si="91"/>
        <v>465.33116833320076</v>
      </c>
      <c r="I187" s="6">
        <f t="shared" si="92"/>
        <v>2081.4125434962416</v>
      </c>
      <c r="J187" s="6">
        <f t="shared" si="93"/>
        <v>72.846534232572239</v>
      </c>
      <c r="K187" s="6">
        <f t="shared" si="94"/>
        <v>81.68941285275136</v>
      </c>
      <c r="L187" s="6">
        <f t="shared" si="95"/>
        <v>118.9053030898049</v>
      </c>
      <c r="M187" s="6">
        <f t="shared" si="96"/>
        <v>1684.9063640310915</v>
      </c>
      <c r="O187" s="6">
        <f t="shared" si="97"/>
        <v>0.10329006332101982</v>
      </c>
      <c r="P187" s="6">
        <f t="shared" si="98"/>
        <v>0.46201339614746911</v>
      </c>
      <c r="Q187" s="6">
        <f t="shared" si="99"/>
        <v>1.6169824085824888E-2</v>
      </c>
      <c r="R187" s="6">
        <f t="shared" si="100"/>
        <v>1.8132687428699796E-2</v>
      </c>
      <c r="S187" s="6">
        <f t="shared" si="101"/>
        <v>2.6393538884024754E-2</v>
      </c>
      <c r="T187" s="6">
        <f t="shared" si="102"/>
        <v>0.37400049013296155</v>
      </c>
      <c r="V187" s="6">
        <f t="shared" si="103"/>
        <v>18.07576108117847</v>
      </c>
      <c r="W187" s="6">
        <f t="shared" si="104"/>
        <v>80.852344325807096</v>
      </c>
      <c r="X187" s="6">
        <f t="shared" si="105"/>
        <v>2.8297192150193555</v>
      </c>
      <c r="Y187" s="6">
        <f t="shared" si="106"/>
        <v>3.1732203000224644</v>
      </c>
      <c r="Z187" s="6">
        <f t="shared" si="107"/>
        <v>4.6188693047043321</v>
      </c>
      <c r="AA187" s="6">
        <f t="shared" si="108"/>
        <v>65.45008577326827</v>
      </c>
      <c r="AC187" s="14">
        <f t="shared" si="109"/>
        <v>7.5210778555194454E-3</v>
      </c>
      <c r="AD187" s="17"/>
      <c r="AE187" s="15">
        <f t="shared" si="110"/>
        <v>3.9375074273339016E-3</v>
      </c>
    </row>
    <row r="188" spans="2:31" x14ac:dyDescent="0.2">
      <c r="B188" s="6">
        <f t="shared" si="86"/>
        <v>173</v>
      </c>
      <c r="C188" s="6">
        <f t="shared" si="87"/>
        <v>66.511978277367163</v>
      </c>
      <c r="D188" s="6">
        <f t="shared" si="88"/>
        <v>2203.732609245571</v>
      </c>
      <c r="E188" s="6">
        <f t="shared" si="89"/>
        <v>0.49084465881226941</v>
      </c>
      <c r="F188" s="6">
        <f t="shared" si="90"/>
        <v>0.23777390744124735</v>
      </c>
      <c r="H188" s="6">
        <f t="shared" si="91"/>
        <v>464.59123321143136</v>
      </c>
      <c r="I188" s="6">
        <f t="shared" si="92"/>
        <v>2079.7012651376785</v>
      </c>
      <c r="J188" s="6">
        <f t="shared" si="93"/>
        <v>73.332205850969032</v>
      </c>
      <c r="K188" s="6">
        <f t="shared" si="94"/>
        <v>81.943676356123987</v>
      </c>
      <c r="L188" s="6">
        <f t="shared" si="95"/>
        <v>119.64523821157432</v>
      </c>
      <c r="M188" s="6">
        <f t="shared" si="96"/>
        <v>1684.9063640310915</v>
      </c>
      <c r="O188" s="6">
        <f t="shared" si="97"/>
        <v>0.10314805888513065</v>
      </c>
      <c r="P188" s="6">
        <f t="shared" si="98"/>
        <v>0.46173309616085056</v>
      </c>
      <c r="Q188" s="6">
        <f t="shared" si="99"/>
        <v>1.6281139519156475E-2</v>
      </c>
      <c r="R188" s="6">
        <f t="shared" si="100"/>
        <v>1.8193049179210372E-2</v>
      </c>
      <c r="S188" s="6">
        <f t="shared" si="101"/>
        <v>2.6563510445657922E-2</v>
      </c>
      <c r="T188" s="6">
        <f t="shared" si="102"/>
        <v>0.37408114580999408</v>
      </c>
      <c r="V188" s="6">
        <f t="shared" si="103"/>
        <v>18.050910304897865</v>
      </c>
      <c r="W188" s="6">
        <f t="shared" si="104"/>
        <v>80.803291828148843</v>
      </c>
      <c r="X188" s="6">
        <f t="shared" si="105"/>
        <v>2.8491994158523832</v>
      </c>
      <c r="Y188" s="6">
        <f t="shared" si="106"/>
        <v>3.183783606361815</v>
      </c>
      <c r="Z188" s="6">
        <f t="shared" si="107"/>
        <v>4.6486143279901366</v>
      </c>
      <c r="AA188" s="6">
        <f t="shared" si="108"/>
        <v>65.46420051674896</v>
      </c>
      <c r="AC188" s="14">
        <f t="shared" si="109"/>
        <v>7.3797934075176212E-3</v>
      </c>
      <c r="AD188" s="17"/>
      <c r="AE188" s="15">
        <f t="shared" si="110"/>
        <v>3.574903552705747E-3</v>
      </c>
    </row>
    <row r="189" spans="2:31" x14ac:dyDescent="0.2">
      <c r="B189" s="6">
        <f t="shared" si="86"/>
        <v>174</v>
      </c>
      <c r="C189" s="6">
        <f t="shared" si="87"/>
        <v>68.50733762568818</v>
      </c>
      <c r="D189" s="6">
        <f t="shared" si="88"/>
        <v>2270.2445875229382</v>
      </c>
      <c r="E189" s="6">
        <f t="shared" si="89"/>
        <v>0.49622593853984615</v>
      </c>
      <c r="F189" s="6">
        <f t="shared" si="90"/>
        <v>0.22086261721589082</v>
      </c>
      <c r="H189" s="6">
        <f t="shared" si="91"/>
        <v>463.86261464517787</v>
      </c>
      <c r="I189" s="6">
        <f t="shared" si="92"/>
        <v>2077.9909572538004</v>
      </c>
      <c r="J189" s="6">
        <f t="shared" si="93"/>
        <v>73.823050509781297</v>
      </c>
      <c r="K189" s="6">
        <f t="shared" si="94"/>
        <v>82.181450263565239</v>
      </c>
      <c r="L189" s="6">
        <f t="shared" si="95"/>
        <v>120.37385677782784</v>
      </c>
      <c r="M189" s="6">
        <f t="shared" si="96"/>
        <v>1684.9063640310915</v>
      </c>
      <c r="O189" s="6">
        <f t="shared" si="97"/>
        <v>0.10300874288419405</v>
      </c>
      <c r="P189" s="6">
        <f t="shared" si="98"/>
        <v>0.46145395096168951</v>
      </c>
      <c r="Q189" s="6">
        <f t="shared" si="99"/>
        <v>1.6393689400267308E-2</v>
      </c>
      <c r="R189" s="6">
        <f t="shared" si="100"/>
        <v>1.8249817107000986E-2</v>
      </c>
      <c r="S189" s="6">
        <f t="shared" si="101"/>
        <v>2.6731103717618748E-2</v>
      </c>
      <c r="T189" s="6">
        <f t="shared" si="102"/>
        <v>0.37416269592922929</v>
      </c>
      <c r="V189" s="6">
        <f t="shared" si="103"/>
        <v>18.02653000473396</v>
      </c>
      <c r="W189" s="6">
        <f t="shared" si="104"/>
        <v>80.75444141829567</v>
      </c>
      <c r="X189" s="6">
        <f t="shared" si="105"/>
        <v>2.8688956450467789</v>
      </c>
      <c r="Y189" s="6">
        <f t="shared" si="106"/>
        <v>3.1937179937251727</v>
      </c>
      <c r="Z189" s="6">
        <f t="shared" si="107"/>
        <v>4.6779431505832809</v>
      </c>
      <c r="AA189" s="6">
        <f t="shared" si="108"/>
        <v>65.478471787615121</v>
      </c>
      <c r="AC189" s="14">
        <f t="shared" si="109"/>
        <v>7.2433983823913251E-3</v>
      </c>
      <c r="AD189" s="17"/>
      <c r="AE189" s="15">
        <f t="shared" si="110"/>
        <v>3.2239264416119131E-3</v>
      </c>
    </row>
    <row r="190" spans="2:31" x14ac:dyDescent="0.2">
      <c r="B190" s="6">
        <f t="shared" si="86"/>
        <v>175</v>
      </c>
      <c r="C190" s="6">
        <f t="shared" si="87"/>
        <v>70.562557754458823</v>
      </c>
      <c r="D190" s="6">
        <f t="shared" si="88"/>
        <v>2338.7519251486265</v>
      </c>
      <c r="E190" s="6">
        <f t="shared" si="89"/>
        <v>0.50182144170328324</v>
      </c>
      <c r="F190" s="6">
        <f t="shared" si="90"/>
        <v>0.20355109974540275</v>
      </c>
      <c r="H190" s="6">
        <f t="shared" si="91"/>
        <v>463.14552608942211</v>
      </c>
      <c r="I190" s="6">
        <f t="shared" si="92"/>
        <v>2076.2814168209648</v>
      </c>
      <c r="J190" s="6">
        <f t="shared" si="93"/>
        <v>74.319276448321148</v>
      </c>
      <c r="K190" s="6">
        <f t="shared" si="94"/>
        <v>82.402312880781125</v>
      </c>
      <c r="L190" s="6">
        <f t="shared" si="95"/>
        <v>121.09094533358358</v>
      </c>
      <c r="M190" s="6">
        <f t="shared" si="96"/>
        <v>1684.9063640310915</v>
      </c>
      <c r="O190" s="6">
        <f t="shared" si="97"/>
        <v>0.10287217304457606</v>
      </c>
      <c r="P190" s="6">
        <f t="shared" si="98"/>
        <v>0.46117595694793456</v>
      </c>
      <c r="Q190" s="6">
        <f t="shared" si="99"/>
        <v>1.6507523092996999E-2</v>
      </c>
      <c r="R190" s="6">
        <f t="shared" si="100"/>
        <v>1.8302897280515523E-2</v>
      </c>
      <c r="S190" s="6">
        <f t="shared" si="101"/>
        <v>2.689627337581706E-2</v>
      </c>
      <c r="T190" s="6">
        <f t="shared" si="102"/>
        <v>0.37424517625815978</v>
      </c>
      <c r="V190" s="6">
        <f t="shared" si="103"/>
        <v>18.002630282800812</v>
      </c>
      <c r="W190" s="6">
        <f t="shared" si="104"/>
        <v>80.70579246588855</v>
      </c>
      <c r="X190" s="6">
        <f t="shared" si="105"/>
        <v>2.8888165412744748</v>
      </c>
      <c r="Y190" s="6">
        <f t="shared" si="106"/>
        <v>3.2030070240902164</v>
      </c>
      <c r="Z190" s="6">
        <f t="shared" si="107"/>
        <v>4.7068478407679857</v>
      </c>
      <c r="AA190" s="6">
        <f t="shared" si="108"/>
        <v>65.492905845177958</v>
      </c>
      <c r="AC190" s="14">
        <f t="shared" si="109"/>
        <v>7.1117240881418209E-3</v>
      </c>
      <c r="AD190" s="17"/>
      <c r="AE190" s="15">
        <f t="shared" si="110"/>
        <v>2.8846899293774597E-3</v>
      </c>
    </row>
    <row r="191" spans="2:31" x14ac:dyDescent="0.2">
      <c r="B191" s="6">
        <f t="shared" si="86"/>
        <v>176</v>
      </c>
      <c r="C191" s="6">
        <f t="shared" si="87"/>
        <v>72.679434487092593</v>
      </c>
      <c r="D191" s="6">
        <f t="shared" si="88"/>
        <v>2409.3144829030853</v>
      </c>
      <c r="E191" s="6">
        <f t="shared" si="89"/>
        <v>0.50763711744433093</v>
      </c>
      <c r="F191" s="6">
        <f t="shared" si="90"/>
        <v>0.1858626516872926</v>
      </c>
      <c r="H191" s="6">
        <f t="shared" si="91"/>
        <v>462.44015354797341</v>
      </c>
      <c r="I191" s="6">
        <f t="shared" si="92"/>
        <v>2074.5724013961099</v>
      </c>
      <c r="J191" s="6">
        <f t="shared" si="93"/>
        <v>74.821097890024433</v>
      </c>
      <c r="K191" s="6">
        <f t="shared" si="94"/>
        <v>82.605863980526522</v>
      </c>
      <c r="L191" s="6">
        <f t="shared" si="95"/>
        <v>121.79631787503226</v>
      </c>
      <c r="M191" s="6">
        <f t="shared" si="96"/>
        <v>1684.9063640310915</v>
      </c>
      <c r="O191" s="6">
        <f t="shared" si="97"/>
        <v>0.10273840130609531</v>
      </c>
      <c r="P191" s="6">
        <f t="shared" si="98"/>
        <v>0.4608991028956409</v>
      </c>
      <c r="Q191" s="6">
        <f t="shared" si="99"/>
        <v>1.6622691438472857E-2</v>
      </c>
      <c r="R191" s="6">
        <f t="shared" si="100"/>
        <v>1.8352200471250038E-2</v>
      </c>
      <c r="S191" s="6">
        <f t="shared" si="101"/>
        <v>2.7058980253866952E-2</v>
      </c>
      <c r="T191" s="6">
        <f t="shared" si="102"/>
        <v>0.37432862363467401</v>
      </c>
      <c r="V191" s="6">
        <f t="shared" si="103"/>
        <v>17.979220228566678</v>
      </c>
      <c r="W191" s="6">
        <f t="shared" si="104"/>
        <v>80.65734300673715</v>
      </c>
      <c r="X191" s="6">
        <f t="shared" si="105"/>
        <v>2.9089710017327501</v>
      </c>
      <c r="Y191" s="6">
        <f t="shared" si="106"/>
        <v>3.2116350824687565</v>
      </c>
      <c r="Z191" s="6">
        <f t="shared" si="107"/>
        <v>4.7353215444267169</v>
      </c>
      <c r="AA191" s="6">
        <f t="shared" si="108"/>
        <v>65.507509136067952</v>
      </c>
      <c r="AC191" s="14">
        <f t="shared" si="109"/>
        <v>6.9846046688005542E-3</v>
      </c>
      <c r="AD191" s="17"/>
      <c r="AE191" s="15">
        <f t="shared" si="110"/>
        <v>2.5572935865413294E-3</v>
      </c>
    </row>
    <row r="192" spans="2:31" x14ac:dyDescent="0.2">
      <c r="B192" s="6">
        <f t="shared" si="86"/>
        <v>177</v>
      </c>
      <c r="C192" s="6">
        <f t="shared" si="87"/>
        <v>74.859817521705367</v>
      </c>
      <c r="D192" s="6">
        <f t="shared" si="88"/>
        <v>2481.993917390178</v>
      </c>
      <c r="E192" s="6">
        <f t="shared" si="89"/>
        <v>0.51367885689438653</v>
      </c>
      <c r="F192" s="6">
        <f t="shared" si="90"/>
        <v>0.16782236564448466</v>
      </c>
      <c r="H192" s="6">
        <f t="shared" si="91"/>
        <v>461.74665377884179</v>
      </c>
      <c r="I192" s="6">
        <f t="shared" si="92"/>
        <v>2072.8636273920897</v>
      </c>
      <c r="J192" s="6">
        <f t="shared" si="93"/>
        <v>75.328735007468765</v>
      </c>
      <c r="K192" s="6">
        <f t="shared" si="94"/>
        <v>82.791726632213809</v>
      </c>
      <c r="L192" s="6">
        <f t="shared" si="95"/>
        <v>122.48981764416388</v>
      </c>
      <c r="M192" s="6">
        <f t="shared" si="96"/>
        <v>1684.9063640310915</v>
      </c>
      <c r="O192" s="6">
        <f t="shared" si="97"/>
        <v>0.10260747341734043</v>
      </c>
      <c r="P192" s="6">
        <f t="shared" si="98"/>
        <v>0.46062336955727318</v>
      </c>
      <c r="Q192" s="6">
        <f t="shared" si="99"/>
        <v>1.6739246752706851E-2</v>
      </c>
      <c r="R192" s="6">
        <f t="shared" si="100"/>
        <v>1.8397642560197922E-2</v>
      </c>
      <c r="S192" s="6">
        <f t="shared" si="101"/>
        <v>2.7219191747165687E-2</v>
      </c>
      <c r="T192" s="6">
        <f t="shared" si="102"/>
        <v>0.37441307596531592</v>
      </c>
      <c r="V192" s="6">
        <f t="shared" si="103"/>
        <v>17.956307848034577</v>
      </c>
      <c r="W192" s="6">
        <f t="shared" si="104"/>
        <v>80.609089672522799</v>
      </c>
      <c r="X192" s="6">
        <f t="shared" si="105"/>
        <v>2.9293681817236989</v>
      </c>
      <c r="Y192" s="6">
        <f t="shared" si="106"/>
        <v>3.2195874480346363</v>
      </c>
      <c r="Z192" s="6">
        <f t="shared" si="107"/>
        <v>4.763358555753995</v>
      </c>
      <c r="AA192" s="6">
        <f t="shared" si="108"/>
        <v>65.522288293930288</v>
      </c>
      <c r="AC192" s="14">
        <f t="shared" si="109"/>
        <v>6.8618769574938778E-3</v>
      </c>
      <c r="AD192" s="17"/>
      <c r="AE192" s="15">
        <f t="shared" si="110"/>
        <v>2.2418217302737227E-3</v>
      </c>
    </row>
    <row r="193" spans="2:31" x14ac:dyDescent="0.2">
      <c r="B193" s="6">
        <f t="shared" si="86"/>
        <v>178</v>
      </c>
      <c r="C193" s="6">
        <f t="shared" si="87"/>
        <v>77.10561204735653</v>
      </c>
      <c r="D193" s="6">
        <f t="shared" si="88"/>
        <v>2556.8537349118833</v>
      </c>
      <c r="E193" s="6">
        <f t="shared" si="89"/>
        <v>0.51995246803117157</v>
      </c>
      <c r="F193" s="6">
        <f t="shared" si="90"/>
        <v>0.14945708203065705</v>
      </c>
      <c r="H193" s="6">
        <f t="shared" si="91"/>
        <v>461.06515255630291</v>
      </c>
      <c r="I193" s="6">
        <f t="shared" si="92"/>
        <v>2071.1547684557622</v>
      </c>
      <c r="J193" s="6">
        <f t="shared" si="93"/>
        <v>75.842413864363152</v>
      </c>
      <c r="K193" s="6">
        <f t="shared" si="94"/>
        <v>82.959548997858292</v>
      </c>
      <c r="L193" s="6">
        <f t="shared" si="95"/>
        <v>123.17131886670275</v>
      </c>
      <c r="M193" s="6">
        <f t="shared" si="96"/>
        <v>1684.9063640310915</v>
      </c>
      <c r="O193" s="6">
        <f t="shared" si="97"/>
        <v>0.10247942854198673</v>
      </c>
      <c r="P193" s="6">
        <f t="shared" si="98"/>
        <v>0.46034872927734088</v>
      </c>
      <c r="Q193" s="6">
        <f t="shared" si="99"/>
        <v>1.6857242819095238E-2</v>
      </c>
      <c r="R193" s="6">
        <f t="shared" si="100"/>
        <v>1.8439144937034226E-2</v>
      </c>
      <c r="S193" s="6">
        <f t="shared" si="101"/>
        <v>2.7376882204692594E-2</v>
      </c>
      <c r="T193" s="6">
        <f t="shared" si="102"/>
        <v>0.37449857221985033</v>
      </c>
      <c r="V193" s="6">
        <f t="shared" si="103"/>
        <v>17.933899994847678</v>
      </c>
      <c r="W193" s="6">
        <f t="shared" si="104"/>
        <v>80.561027623534656</v>
      </c>
      <c r="X193" s="6">
        <f t="shared" si="105"/>
        <v>2.9500174933416665</v>
      </c>
      <c r="Y193" s="6">
        <f t="shared" si="106"/>
        <v>3.2268503639809896</v>
      </c>
      <c r="Z193" s="6">
        <f t="shared" si="107"/>
        <v>4.7909543858212036</v>
      </c>
      <c r="AA193" s="6">
        <f t="shared" si="108"/>
        <v>65.537250138473809</v>
      </c>
      <c r="AC193" s="14">
        <f t="shared" si="109"/>
        <v>6.7433803354265374E-3</v>
      </c>
      <c r="AD193" s="17"/>
      <c r="AE193" s="15">
        <f t="shared" si="110"/>
        <v>1.9383424638256405E-3</v>
      </c>
    </row>
    <row r="194" spans="2:31" x14ac:dyDescent="0.2">
      <c r="B194" s="6">
        <f t="shared" si="86"/>
        <v>179</v>
      </c>
      <c r="C194" s="6">
        <f t="shared" si="87"/>
        <v>79.418780408777224</v>
      </c>
      <c r="D194" s="6">
        <f t="shared" si="88"/>
        <v>2633.9593469592396</v>
      </c>
      <c r="E194" s="6">
        <f t="shared" si="89"/>
        <v>0.52646364837216764</v>
      </c>
      <c r="F194" s="6">
        <f t="shared" si="90"/>
        <v>0.13079532578508435</v>
      </c>
      <c r="H194" s="6">
        <f t="shared" si="91"/>
        <v>460.39574300624105</v>
      </c>
      <c r="I194" s="6">
        <f t="shared" si="92"/>
        <v>2069.445453969638</v>
      </c>
      <c r="J194" s="6">
        <f t="shared" si="93"/>
        <v>76.36236633239433</v>
      </c>
      <c r="K194" s="6">
        <f t="shared" si="94"/>
        <v>83.109006079888943</v>
      </c>
      <c r="L194" s="6">
        <f t="shared" si="95"/>
        <v>123.84072841676458</v>
      </c>
      <c r="M194" s="6">
        <f t="shared" si="96"/>
        <v>1684.9063640310915</v>
      </c>
      <c r="O194" s="6">
        <f t="shared" si="97"/>
        <v>0.10235429887968998</v>
      </c>
      <c r="P194" s="6">
        <f t="shared" si="98"/>
        <v>0.46007514562955615</v>
      </c>
      <c r="Q194" s="6">
        <f t="shared" si="99"/>
        <v>1.6976734875327276E-2</v>
      </c>
      <c r="R194" s="6">
        <f t="shared" si="100"/>
        <v>1.8476634888823486E-2</v>
      </c>
      <c r="S194" s="6">
        <f t="shared" si="101"/>
        <v>2.7532033304826214E-2</v>
      </c>
      <c r="T194" s="6">
        <f t="shared" si="102"/>
        <v>0.37458515242177703</v>
      </c>
      <c r="V194" s="6">
        <f t="shared" si="103"/>
        <v>17.912002303945748</v>
      </c>
      <c r="W194" s="6">
        <f t="shared" si="104"/>
        <v>80.513150485172332</v>
      </c>
      <c r="X194" s="6">
        <f t="shared" si="105"/>
        <v>2.9709286031822733</v>
      </c>
      <c r="Y194" s="6">
        <f t="shared" si="106"/>
        <v>3.2334111055441102</v>
      </c>
      <c r="Z194" s="6">
        <f t="shared" si="107"/>
        <v>4.8181058283445877</v>
      </c>
      <c r="AA194" s="6">
        <f t="shared" si="108"/>
        <v>65.552401673810976</v>
      </c>
      <c r="AC194" s="14">
        <f t="shared" si="109"/>
        <v>6.6289565977014657E-3</v>
      </c>
      <c r="AD194" s="17"/>
      <c r="AE194" s="15">
        <f t="shared" si="110"/>
        <v>1.6469067531869209E-3</v>
      </c>
    </row>
    <row r="195" spans="2:31" x14ac:dyDescent="0.2">
      <c r="B195" s="6">
        <f t="shared" si="86"/>
        <v>180</v>
      </c>
      <c r="C195" s="6">
        <f t="shared" si="87"/>
        <v>81.801343821040547</v>
      </c>
      <c r="D195" s="6">
        <f t="shared" si="88"/>
        <v>2713.378127368017</v>
      </c>
      <c r="E195" s="6">
        <f t="shared" si="89"/>
        <v>0.53321795547654904</v>
      </c>
      <c r="F195" s="6">
        <f t="shared" si="90"/>
        <v>0.11186722737709995</v>
      </c>
      <c r="H195" s="6">
        <f t="shared" si="91"/>
        <v>459.73848403208382</v>
      </c>
      <c r="I195" s="6">
        <f t="shared" si="92"/>
        <v>2067.7352676987366</v>
      </c>
      <c r="J195" s="6">
        <f t="shared" si="93"/>
        <v>76.888829980766502</v>
      </c>
      <c r="K195" s="6">
        <f t="shared" si="94"/>
        <v>83.239801405674029</v>
      </c>
      <c r="L195" s="6">
        <f t="shared" si="95"/>
        <v>124.49798739092184</v>
      </c>
      <c r="M195" s="6">
        <f t="shared" si="96"/>
        <v>1684.9063640310915</v>
      </c>
      <c r="O195" s="6">
        <f t="shared" si="97"/>
        <v>0.10223210930529877</v>
      </c>
      <c r="P195" s="6">
        <f t="shared" si="98"/>
        <v>0.45980257307988653</v>
      </c>
      <c r="Q195" s="6">
        <f t="shared" si="99"/>
        <v>1.7097779594195756E-2</v>
      </c>
      <c r="R195" s="6">
        <f t="shared" si="100"/>
        <v>1.8510045974881574E-2</v>
      </c>
      <c r="S195" s="6">
        <f t="shared" si="101"/>
        <v>2.7684634411310673E-2</v>
      </c>
      <c r="T195" s="6">
        <f t="shared" si="102"/>
        <v>0.37467285763442665</v>
      </c>
      <c r="V195" s="6">
        <f t="shared" si="103"/>
        <v>17.890619128427286</v>
      </c>
      <c r="W195" s="6">
        <f t="shared" si="104"/>
        <v>80.465450288980136</v>
      </c>
      <c r="X195" s="6">
        <f t="shared" si="105"/>
        <v>2.9921114289842574</v>
      </c>
      <c r="Y195" s="6">
        <f t="shared" si="106"/>
        <v>3.2392580456042754</v>
      </c>
      <c r="Z195" s="6">
        <f t="shared" si="107"/>
        <v>4.8448110219793676</v>
      </c>
      <c r="AA195" s="6">
        <f t="shared" si="108"/>
        <v>65.56775008602466</v>
      </c>
      <c r="AC195" s="14">
        <f t="shared" si="109"/>
        <v>6.5184498269745695E-3</v>
      </c>
      <c r="AD195" s="17"/>
      <c r="AE195" s="15">
        <f t="shared" si="110"/>
        <v>1.3675475505859111E-3</v>
      </c>
    </row>
    <row r="196" spans="2:31" x14ac:dyDescent="0.2">
      <c r="B196" s="6">
        <f t="shared" si="86"/>
        <v>181</v>
      </c>
      <c r="C196" s="6">
        <f t="shared" si="87"/>
        <v>84.255384135671761</v>
      </c>
      <c r="D196" s="6">
        <f t="shared" si="88"/>
        <v>2795.1794711890575</v>
      </c>
      <c r="E196" s="6">
        <f t="shared" si="89"/>
        <v>0.54022077525109691</v>
      </c>
      <c r="F196" s="6">
        <f t="shared" si="90"/>
        <v>9.2704427682068172E-2</v>
      </c>
      <c r="H196" s="6">
        <f t="shared" si="91"/>
        <v>459.09339884923014</v>
      </c>
      <c r="I196" s="6">
        <f t="shared" si="92"/>
        <v>2066.0237466049302</v>
      </c>
      <c r="J196" s="6">
        <f t="shared" si="93"/>
        <v>77.422047936243047</v>
      </c>
      <c r="K196" s="6">
        <f t="shared" si="94"/>
        <v>83.351668633051133</v>
      </c>
      <c r="L196" s="6">
        <f t="shared" si="95"/>
        <v>125.14307257377548</v>
      </c>
      <c r="M196" s="6">
        <f t="shared" si="96"/>
        <v>1684.9063640310915</v>
      </c>
      <c r="O196" s="6">
        <f t="shared" si="97"/>
        <v>0.1021128770302613</v>
      </c>
      <c r="P196" s="6">
        <f t="shared" si="98"/>
        <v>0.45953095668002059</v>
      </c>
      <c r="Q196" s="6">
        <f t="shared" si="99"/>
        <v>1.7220435057792902E-2</v>
      </c>
      <c r="R196" s="6">
        <f t="shared" si="100"/>
        <v>1.853931838429463E-2</v>
      </c>
      <c r="S196" s="6">
        <f t="shared" si="101"/>
        <v>2.7834682905365914E-2</v>
      </c>
      <c r="T196" s="6">
        <f t="shared" si="102"/>
        <v>0.37476172994226453</v>
      </c>
      <c r="V196" s="6">
        <f t="shared" si="103"/>
        <v>17.869753480295728</v>
      </c>
      <c r="W196" s="6">
        <f t="shared" si="104"/>
        <v>80.417917419003601</v>
      </c>
      <c r="X196" s="6">
        <f t="shared" si="105"/>
        <v>3.013576135113758</v>
      </c>
      <c r="Y196" s="6">
        <f t="shared" si="106"/>
        <v>3.2443807172515604</v>
      </c>
      <c r="Z196" s="6">
        <f t="shared" si="107"/>
        <v>4.8710695084390352</v>
      </c>
      <c r="AA196" s="6">
        <f t="shared" si="108"/>
        <v>65.583302739896297</v>
      </c>
      <c r="AC196" s="14">
        <f t="shared" si="109"/>
        <v>6.411706276019221E-3</v>
      </c>
      <c r="AD196" s="17"/>
      <c r="AE196" s="15">
        <f t="shared" si="110"/>
        <v>1.1002789748461817E-3</v>
      </c>
    </row>
    <row r="197" spans="2:31" x14ac:dyDescent="0.2">
      <c r="B197" s="6">
        <f t="shared" si="86"/>
        <v>182</v>
      </c>
      <c r="C197" s="6">
        <f t="shared" si="87"/>
        <v>86.783045659741916</v>
      </c>
      <c r="D197" s="6">
        <f t="shared" si="88"/>
        <v>2879.4348553247291</v>
      </c>
      <c r="E197" s="6">
        <f t="shared" si="89"/>
        <v>0.54747728808326379</v>
      </c>
      <c r="F197" s="6">
        <f t="shared" si="90"/>
        <v>7.3339966475575682E-2</v>
      </c>
      <c r="H197" s="6">
        <f t="shared" si="91"/>
        <v>458.46047364629698</v>
      </c>
      <c r="I197" s="6">
        <f t="shared" si="92"/>
        <v>2064.3103798514949</v>
      </c>
      <c r="J197" s="6">
        <f t="shared" si="93"/>
        <v>77.962268711494147</v>
      </c>
      <c r="K197" s="6">
        <f t="shared" si="94"/>
        <v>83.444373060733199</v>
      </c>
      <c r="L197" s="6">
        <f t="shared" si="95"/>
        <v>125.77599777670865</v>
      </c>
      <c r="M197" s="6">
        <f t="shared" si="96"/>
        <v>1684.9063640310915</v>
      </c>
      <c r="O197" s="6">
        <f t="shared" si="97"/>
        <v>0.10199661129020149</v>
      </c>
      <c r="P197" s="6">
        <f t="shared" si="98"/>
        <v>0.4592602317958665</v>
      </c>
      <c r="Q197" s="6">
        <f t="shared" si="99"/>
        <v>1.7344760724570991E-2</v>
      </c>
      <c r="R197" s="6">
        <f t="shared" si="100"/>
        <v>1.8564399272501839E-2</v>
      </c>
      <c r="S197" s="6">
        <f t="shared" si="101"/>
        <v>2.7982184489835828E-2</v>
      </c>
      <c r="T197" s="6">
        <f t="shared" si="102"/>
        <v>0.37485181242702326</v>
      </c>
      <c r="V197" s="6">
        <f t="shared" si="103"/>
        <v>17.849406975785261</v>
      </c>
      <c r="W197" s="6">
        <f t="shared" si="104"/>
        <v>80.370540564276638</v>
      </c>
      <c r="X197" s="6">
        <f t="shared" si="105"/>
        <v>3.0353331267999235</v>
      </c>
      <c r="Y197" s="6">
        <f t="shared" si="106"/>
        <v>3.2487698726878218</v>
      </c>
      <c r="Z197" s="6">
        <f t="shared" si="107"/>
        <v>4.8968822857212704</v>
      </c>
      <c r="AA197" s="6">
        <f t="shared" si="108"/>
        <v>65.599067174729072</v>
      </c>
      <c r="AC197" s="14">
        <f t="shared" si="109"/>
        <v>6.3085742603435141E-3</v>
      </c>
      <c r="AD197" s="17"/>
      <c r="AE197" s="15">
        <f t="shared" si="110"/>
        <v>8.4509555890820284E-4</v>
      </c>
    </row>
    <row r="198" spans="2:31" x14ac:dyDescent="0.2">
      <c r="B198" s="6">
        <f t="shared" si="86"/>
        <v>183</v>
      </c>
      <c r="C198" s="6">
        <f t="shared" si="87"/>
        <v>89.386537029534182</v>
      </c>
      <c r="D198" s="6">
        <f t="shared" si="88"/>
        <v>2966.2179009844713</v>
      </c>
      <c r="E198" s="6">
        <f t="shared" si="89"/>
        <v>0.55499243285617839</v>
      </c>
      <c r="F198" s="6">
        <f t="shared" si="90"/>
        <v>5.3808154480211076E-2</v>
      </c>
      <c r="H198" s="6">
        <f t="shared" si="91"/>
        <v>457.83965639173812</v>
      </c>
      <c r="I198" s="6">
        <f t="shared" si="92"/>
        <v>2062.5946080207696</v>
      </c>
      <c r="J198" s="6">
        <f t="shared" si="93"/>
        <v>78.509745999577405</v>
      </c>
      <c r="K198" s="6">
        <f t="shared" si="94"/>
        <v>83.517713027208771</v>
      </c>
      <c r="L198" s="6">
        <f t="shared" si="95"/>
        <v>126.39681503126748</v>
      </c>
      <c r="M198" s="6">
        <f t="shared" si="96"/>
        <v>1684.9063640310915</v>
      </c>
      <c r="O198" s="6">
        <f t="shared" si="97"/>
        <v>0.10188331306269749</v>
      </c>
      <c r="P198" s="6">
        <f t="shared" si="98"/>
        <v>0.45899032387576288</v>
      </c>
      <c r="Q198" s="6">
        <f t="shared" si="99"/>
        <v>1.7470817388749352E-2</v>
      </c>
      <c r="R198" s="6">
        <f t="shared" si="100"/>
        <v>1.8585243073289157E-2</v>
      </c>
      <c r="S198" s="6">
        <f t="shared" si="101"/>
        <v>2.8127153461210912E-2</v>
      </c>
      <c r="T198" s="6">
        <f t="shared" si="102"/>
        <v>0.37494314913829024</v>
      </c>
      <c r="V198" s="6">
        <f t="shared" si="103"/>
        <v>17.829579785972062</v>
      </c>
      <c r="W198" s="6">
        <f t="shared" si="104"/>
        <v>80.323306678258504</v>
      </c>
      <c r="X198" s="6">
        <f t="shared" si="105"/>
        <v>3.0573930430311367</v>
      </c>
      <c r="Y198" s="6">
        <f t="shared" si="106"/>
        <v>3.2524175378256026</v>
      </c>
      <c r="Z198" s="6">
        <f t="shared" si="107"/>
        <v>4.9222518557119095</v>
      </c>
      <c r="AA198" s="6">
        <f t="shared" si="108"/>
        <v>65.615051099200798</v>
      </c>
      <c r="AC198" s="14">
        <f t="shared" si="109"/>
        <v>6.2089040620603017E-3</v>
      </c>
      <c r="AD198" s="17"/>
      <c r="AE198" s="15">
        <f t="shared" si="110"/>
        <v>6.019715750083521E-4</v>
      </c>
    </row>
    <row r="199" spans="2:31" x14ac:dyDescent="0.2">
      <c r="B199" s="6">
        <f t="shared" si="86"/>
        <v>184</v>
      </c>
      <c r="C199" s="6">
        <f t="shared" si="87"/>
        <v>92.068133140420215</v>
      </c>
      <c r="D199" s="6">
        <f t="shared" si="88"/>
        <v>3055.6044380140056</v>
      </c>
      <c r="E199" s="6">
        <f t="shared" si="89"/>
        <v>0.56277086893605455</v>
      </c>
      <c r="F199" s="6">
        <f t="shared" si="90"/>
        <v>3.4144429109433237E-2</v>
      </c>
      <c r="H199" s="6">
        <f t="shared" si="91"/>
        <v>457.2308558044017</v>
      </c>
      <c r="I199" s="6">
        <f t="shared" si="92"/>
        <v>2060.8758225677211</v>
      </c>
      <c r="J199" s="6">
        <f t="shared" si="93"/>
        <v>79.064738432433586</v>
      </c>
      <c r="K199" s="6">
        <f t="shared" si="94"/>
        <v>83.571521181688979</v>
      </c>
      <c r="L199" s="6">
        <f t="shared" si="95"/>
        <v>127.00561561860387</v>
      </c>
      <c r="M199" s="6">
        <f t="shared" si="96"/>
        <v>1684.9063640310915</v>
      </c>
      <c r="O199" s="6">
        <f t="shared" si="97"/>
        <v>0.10177297481930775</v>
      </c>
      <c r="P199" s="6">
        <f t="shared" si="98"/>
        <v>0.45872114826307764</v>
      </c>
      <c r="Q199" s="6">
        <f t="shared" si="99"/>
        <v>1.7598667131558346E-2</v>
      </c>
      <c r="R199" s="6">
        <f t="shared" si="100"/>
        <v>1.8601811782522744E-2</v>
      </c>
      <c r="S199" s="6">
        <f t="shared" si="101"/>
        <v>2.8269612945352792E-2</v>
      </c>
      <c r="T199" s="6">
        <f t="shared" si="102"/>
        <v>0.3750357850581808</v>
      </c>
      <c r="V199" s="6">
        <f t="shared" si="103"/>
        <v>17.810270593378856</v>
      </c>
      <c r="W199" s="6">
        <f t="shared" si="104"/>
        <v>80.276200946038585</v>
      </c>
      <c r="X199" s="6">
        <f t="shared" si="105"/>
        <v>3.0797667480227107</v>
      </c>
      <c r="Y199" s="6">
        <f t="shared" si="106"/>
        <v>3.2553170619414802</v>
      </c>
      <c r="Z199" s="6">
        <f t="shared" si="107"/>
        <v>4.947182265436739</v>
      </c>
      <c r="AA199" s="6">
        <f t="shared" si="108"/>
        <v>65.631262385181643</v>
      </c>
      <c r="AC199" s="14">
        <f t="shared" si="109"/>
        <v>6.1125478462534834E-3</v>
      </c>
      <c r="AD199" s="17"/>
      <c r="AE199" s="15">
        <f t="shared" si="110"/>
        <v>3.7086044807009322E-4</v>
      </c>
    </row>
    <row r="200" spans="2:31" x14ac:dyDescent="0.2">
      <c r="B200" s="6">
        <f t="shared" si="86"/>
        <v>185</v>
      </c>
      <c r="C200" s="6">
        <f t="shared" si="87"/>
        <v>94.83017713463282</v>
      </c>
      <c r="D200" s="6">
        <f t="shared" si="88"/>
        <v>3147.6725711544259</v>
      </c>
      <c r="E200" s="6">
        <f t="shared" si="89"/>
        <v>0.57081693626200969</v>
      </c>
      <c r="F200" s="6">
        <f t="shared" si="90"/>
        <v>1.4385194284262342E-2</v>
      </c>
      <c r="H200" s="6">
        <f t="shared" si="91"/>
        <v>456.63394050635617</v>
      </c>
      <c r="I200" s="6">
        <f t="shared" si="92"/>
        <v>2059.1533655318035</v>
      </c>
      <c r="J200" s="6">
        <f t="shared" si="93"/>
        <v>79.627509301369642</v>
      </c>
      <c r="K200" s="6">
        <f t="shared" si="94"/>
        <v>83.605665610798411</v>
      </c>
      <c r="L200" s="6">
        <f t="shared" si="95"/>
        <v>127.60253091664936</v>
      </c>
      <c r="M200" s="6">
        <f t="shared" si="96"/>
        <v>1684.9063640310915</v>
      </c>
      <c r="O200" s="6">
        <f t="shared" si="97"/>
        <v>0.10166558031584809</v>
      </c>
      <c r="P200" s="6">
        <f t="shared" si="98"/>
        <v>0.45845261005781168</v>
      </c>
      <c r="Q200" s="6">
        <f t="shared" si="99"/>
        <v>1.7728373263828059E-2</v>
      </c>
      <c r="R200" s="6">
        <f t="shared" si="100"/>
        <v>1.8614075209979382E-2</v>
      </c>
      <c r="S200" s="6">
        <f t="shared" si="101"/>
        <v>2.8409595092792995E-2</v>
      </c>
      <c r="T200" s="6">
        <f t="shared" si="102"/>
        <v>0.37512976605973974</v>
      </c>
      <c r="V200" s="6">
        <f t="shared" si="103"/>
        <v>17.791476555273416</v>
      </c>
      <c r="W200" s="6">
        <f t="shared" si="104"/>
        <v>80.229206760117052</v>
      </c>
      <c r="X200" s="6">
        <f t="shared" si="105"/>
        <v>3.1024653211699103</v>
      </c>
      <c r="Y200" s="6">
        <f t="shared" si="106"/>
        <v>3.2574631617463918</v>
      </c>
      <c r="Z200" s="6">
        <f t="shared" si="107"/>
        <v>4.9716791412387744</v>
      </c>
      <c r="AA200" s="6">
        <f t="shared" si="108"/>
        <v>65.64770906045446</v>
      </c>
      <c r="AC200" s="14">
        <f t="shared" si="109"/>
        <v>6.0193595911099728E-3</v>
      </c>
      <c r="AD200" s="17"/>
      <c r="AE200" s="15">
        <f t="shared" si="110"/>
        <v>1.5169426778397044E-4</v>
      </c>
    </row>
    <row r="201" spans="2:31" x14ac:dyDescent="0.2">
      <c r="B201" s="6">
        <f t="shared" si="86"/>
        <v>186</v>
      </c>
      <c r="C201" s="6">
        <f t="shared" si="87"/>
        <v>97.675082448671802</v>
      </c>
      <c r="D201" s="6">
        <f t="shared" si="88"/>
        <v>3242.5027482890587</v>
      </c>
      <c r="E201" s="6">
        <f t="shared" si="89"/>
        <v>0.57913461371145858</v>
      </c>
      <c r="F201" s="6">
        <f t="shared" si="90"/>
        <v>-5.4323550509935235E-3</v>
      </c>
      <c r="H201" s="6">
        <f t="shared" si="91"/>
        <v>456.04873837580988</v>
      </c>
      <c r="I201" s="6">
        <f t="shared" si="92"/>
        <v>2057.4265295287332</v>
      </c>
      <c r="J201" s="6">
        <f t="shared" si="93"/>
        <v>80.198326237631647</v>
      </c>
      <c r="K201" s="6">
        <f t="shared" si="94"/>
        <v>83.62005080508267</v>
      </c>
      <c r="L201" s="6">
        <f t="shared" si="95"/>
        <v>128.18773304719565</v>
      </c>
      <c r="M201" s="6">
        <f t="shared" si="96"/>
        <v>1684.9063640310915</v>
      </c>
      <c r="O201" s="6">
        <f t="shared" si="97"/>
        <v>0.10156110442482486</v>
      </c>
      <c r="P201" s="6">
        <f t="shared" si="98"/>
        <v>0.45818460403169098</v>
      </c>
      <c r="Q201" s="6">
        <f t="shared" si="99"/>
        <v>1.7860000259455416E-2</v>
      </c>
      <c r="R201" s="6">
        <f t="shared" si="100"/>
        <v>1.8622011195710896E-2</v>
      </c>
      <c r="S201" s="6">
        <f t="shared" si="101"/>
        <v>2.8547141229583916E-2</v>
      </c>
      <c r="T201" s="6">
        <f t="shared" si="102"/>
        <v>0.37522513885873388</v>
      </c>
      <c r="V201" s="6">
        <f t="shared" si="103"/>
        <v>17.773193274344351</v>
      </c>
      <c r="W201" s="6">
        <f t="shared" si="104"/>
        <v>80.182305705545915</v>
      </c>
      <c r="X201" s="6">
        <f t="shared" si="105"/>
        <v>3.1255000454046979</v>
      </c>
      <c r="Y201" s="6">
        <f t="shared" si="106"/>
        <v>3.258851959249407</v>
      </c>
      <c r="Z201" s="6">
        <f t="shared" si="107"/>
        <v>4.995749715177185</v>
      </c>
      <c r="AA201" s="6">
        <f t="shared" si="108"/>
        <v>65.664399300278433</v>
      </c>
      <c r="AC201" s="14">
        <f t="shared" si="109"/>
        <v>5.929195033091408E-3</v>
      </c>
      <c r="AD201" s="17"/>
      <c r="AE201" s="15">
        <f t="shared" si="110"/>
        <v>-5.5616590381157065E-5</v>
      </c>
    </row>
    <row r="202" spans="2:31" x14ac:dyDescent="0.2">
      <c r="B202" s="6">
        <f t="shared" si="86"/>
        <v>187</v>
      </c>
      <c r="C202" s="6">
        <f t="shared" si="87"/>
        <v>100.60533492213196</v>
      </c>
      <c r="D202" s="6">
        <f t="shared" si="88"/>
        <v>3340.1778307377303</v>
      </c>
      <c r="E202" s="6">
        <f t="shared" si="89"/>
        <v>0.58772747596067643</v>
      </c>
      <c r="F202" s="6">
        <f t="shared" si="90"/>
        <v>-2.5270422820560731E-2</v>
      </c>
      <c r="H202" s="6">
        <f t="shared" si="91"/>
        <v>455.47503611714939</v>
      </c>
      <c r="I202" s="6">
        <f t="shared" si="92"/>
        <v>2055.69455804265</v>
      </c>
      <c r="J202" s="6">
        <f t="shared" si="93"/>
        <v>80.777460851343108</v>
      </c>
      <c r="K202" s="6">
        <f t="shared" si="94"/>
        <v>83.614618450031671</v>
      </c>
      <c r="L202" s="6">
        <f t="shared" si="95"/>
        <v>128.76143530585611</v>
      </c>
      <c r="M202" s="6">
        <f t="shared" si="96"/>
        <v>1684.9063640310915</v>
      </c>
      <c r="O202" s="6">
        <f t="shared" si="97"/>
        <v>0.10145951301376742</v>
      </c>
      <c r="P202" s="6">
        <f t="shared" si="98"/>
        <v>0.45791701460102507</v>
      </c>
      <c r="Q202" s="6">
        <f t="shared" si="99"/>
        <v>1.7993613679319176E-2</v>
      </c>
      <c r="R202" s="6">
        <f t="shared" si="100"/>
        <v>1.8625605787515011E-2</v>
      </c>
      <c r="S202" s="6">
        <f t="shared" si="101"/>
        <v>2.8682301959850477E-2</v>
      </c>
      <c r="T202" s="6">
        <f t="shared" si="102"/>
        <v>0.37532195095852267</v>
      </c>
      <c r="V202" s="6">
        <f t="shared" si="103"/>
        <v>17.7554147774093</v>
      </c>
      <c r="W202" s="6">
        <f t="shared" si="104"/>
        <v>80.135477555179392</v>
      </c>
      <c r="X202" s="6">
        <f t="shared" si="105"/>
        <v>3.1488823938808559</v>
      </c>
      <c r="Y202" s="6">
        <f t="shared" si="106"/>
        <v>3.2594810128151268</v>
      </c>
      <c r="Z202" s="6">
        <f t="shared" si="107"/>
        <v>5.0194028429738333</v>
      </c>
      <c r="AA202" s="6">
        <f t="shared" si="108"/>
        <v>65.681341417741464</v>
      </c>
      <c r="AC202" s="14">
        <f t="shared" si="109"/>
        <v>5.8419116283999718E-3</v>
      </c>
      <c r="AD202" s="17"/>
      <c r="AE202" s="15">
        <f t="shared" si="110"/>
        <v>-2.5118372539706683E-4</v>
      </c>
    </row>
    <row r="203" spans="2:31" x14ac:dyDescent="0.2">
      <c r="B203" s="6">
        <f t="shared" si="86"/>
        <v>188</v>
      </c>
      <c r="C203" s="6">
        <f t="shared" si="87"/>
        <v>103.62349496979591</v>
      </c>
      <c r="D203" s="6">
        <f t="shared" si="88"/>
        <v>3440.7831656598623</v>
      </c>
      <c r="E203" s="6">
        <f t="shared" si="89"/>
        <v>0.59659864910917049</v>
      </c>
      <c r="F203" s="6">
        <f t="shared" si="90"/>
        <v>-4.5090814942943584E-2</v>
      </c>
      <c r="H203" s="6">
        <f t="shared" si="91"/>
        <v>454.91257906400926</v>
      </c>
      <c r="I203" s="6">
        <f t="shared" si="92"/>
        <v>2053.9566460375886</v>
      </c>
      <c r="J203" s="6">
        <f t="shared" si="93"/>
        <v>81.365188327303784</v>
      </c>
      <c r="K203" s="6">
        <f t="shared" si="94"/>
        <v>83.589348027211116</v>
      </c>
      <c r="L203" s="6">
        <f t="shared" si="95"/>
        <v>129.32389235899623</v>
      </c>
      <c r="M203" s="6">
        <f t="shared" si="96"/>
        <v>1684.9063640310915</v>
      </c>
      <c r="O203" s="6">
        <f t="shared" si="97"/>
        <v>0.10136076287297453</v>
      </c>
      <c r="P203" s="6">
        <f t="shared" si="98"/>
        <v>0.45764971586132441</v>
      </c>
      <c r="Q203" s="6">
        <f t="shared" si="99"/>
        <v>1.8129280085258562E-2</v>
      </c>
      <c r="R203" s="6">
        <f t="shared" si="100"/>
        <v>1.8624853376280292E-2</v>
      </c>
      <c r="S203" s="6">
        <f t="shared" si="101"/>
        <v>2.8815137216431787E-2</v>
      </c>
      <c r="T203" s="6">
        <f t="shared" si="102"/>
        <v>0.3754202505877306</v>
      </c>
      <c r="V203" s="6">
        <f t="shared" si="103"/>
        <v>17.738133502770545</v>
      </c>
      <c r="W203" s="6">
        <f t="shared" si="104"/>
        <v>80.088700275731767</v>
      </c>
      <c r="X203" s="6">
        <f t="shared" si="105"/>
        <v>3.1726240149202485</v>
      </c>
      <c r="Y203" s="6">
        <f t="shared" si="106"/>
        <v>3.259349340849051</v>
      </c>
      <c r="Z203" s="6">
        <f t="shared" si="107"/>
        <v>5.0426490128755628</v>
      </c>
      <c r="AA203" s="6">
        <f t="shared" si="108"/>
        <v>65.69854385285285</v>
      </c>
      <c r="AC203" s="14">
        <f t="shared" si="109"/>
        <v>5.7573685319440978E-3</v>
      </c>
      <c r="AD203" s="17"/>
      <c r="AE203" s="15">
        <f t="shared" si="110"/>
        <v>-4.3514084287628606E-4</v>
      </c>
    </row>
    <row r="204" spans="2:31" x14ac:dyDescent="0.2">
      <c r="B204" s="6">
        <f t="shared" si="86"/>
        <v>189</v>
      </c>
      <c r="C204" s="6">
        <f t="shared" si="87"/>
        <v>106.7321998188898</v>
      </c>
      <c r="D204" s="6">
        <f t="shared" si="88"/>
        <v>3544.4066606296583</v>
      </c>
      <c r="E204" s="6">
        <f t="shared" si="89"/>
        <v>0.60575076538746575</v>
      </c>
      <c r="F204" s="6">
        <f t="shared" si="90"/>
        <v>-6.4855154227730152E-2</v>
      </c>
      <c r="H204" s="6">
        <f t="shared" si="91"/>
        <v>454.36107122984305</v>
      </c>
      <c r="I204" s="6">
        <f t="shared" si="92"/>
        <v>2052.2119409052038</v>
      </c>
      <c r="J204" s="6">
        <f t="shared" si="93"/>
        <v>81.961786976412952</v>
      </c>
      <c r="K204" s="6">
        <f t="shared" si="94"/>
        <v>83.544257212268178</v>
      </c>
      <c r="L204" s="6">
        <f t="shared" si="95"/>
        <v>129.87540019316248</v>
      </c>
      <c r="M204" s="6">
        <f t="shared" si="96"/>
        <v>1684.9063640310915</v>
      </c>
      <c r="O204" s="6">
        <f t="shared" si="97"/>
        <v>0.10126480169588851</v>
      </c>
      <c r="P204" s="6">
        <f t="shared" si="98"/>
        <v>0.45738257168729524</v>
      </c>
      <c r="Q204" s="6">
        <f t="shared" si="99"/>
        <v>1.8267066943788757E-2</v>
      </c>
      <c r="R204" s="6">
        <f t="shared" si="100"/>
        <v>1.8619756786230086E-2</v>
      </c>
      <c r="S204" s="6">
        <f t="shared" si="101"/>
        <v>2.8945716256315868E-2</v>
      </c>
      <c r="T204" s="6">
        <f t="shared" si="102"/>
        <v>0.37552008663048148</v>
      </c>
      <c r="V204" s="6">
        <f t="shared" si="103"/>
        <v>17.72134029678049</v>
      </c>
      <c r="W204" s="6">
        <f t="shared" si="104"/>
        <v>80.041950045276664</v>
      </c>
      <c r="X204" s="6">
        <f t="shared" si="105"/>
        <v>3.1967367151630324</v>
      </c>
      <c r="Y204" s="6">
        <f t="shared" si="106"/>
        <v>3.2584574375902648</v>
      </c>
      <c r="Z204" s="6">
        <f t="shared" si="107"/>
        <v>5.0655003448552769</v>
      </c>
      <c r="AA204" s="6">
        <f t="shared" si="108"/>
        <v>65.716015160334251</v>
      </c>
      <c r="AC204" s="14">
        <f t="shared" si="109"/>
        <v>5.6754265949295847E-3</v>
      </c>
      <c r="AD204" s="17"/>
      <c r="AE204" s="15">
        <f t="shared" si="110"/>
        <v>-6.0764375078730347E-4</v>
      </c>
    </row>
    <row r="205" spans="2:31" x14ac:dyDescent="0.2">
      <c r="B205" s="6">
        <f t="shared" si="86"/>
        <v>190</v>
      </c>
      <c r="C205" s="6">
        <f t="shared" si="87"/>
        <v>109.93416581345649</v>
      </c>
      <c r="D205" s="6">
        <f t="shared" si="88"/>
        <v>3651.1388604485483</v>
      </c>
      <c r="E205" s="6">
        <f t="shared" si="89"/>
        <v>0.61518591731975436</v>
      </c>
      <c r="F205" s="6">
        <f t="shared" si="90"/>
        <v>-8.452510528783419E-2</v>
      </c>
      <c r="H205" s="6">
        <f t="shared" si="91"/>
        <v>453.82017561868332</v>
      </c>
      <c r="I205" s="6">
        <f t="shared" si="92"/>
        <v>2050.4595437632693</v>
      </c>
      <c r="J205" s="6">
        <f t="shared" si="93"/>
        <v>82.567537741800422</v>
      </c>
      <c r="K205" s="6">
        <f t="shared" si="94"/>
        <v>83.479402058040449</v>
      </c>
      <c r="L205" s="6">
        <f t="shared" si="95"/>
        <v>130.4162958043222</v>
      </c>
      <c r="M205" s="6">
        <f t="shared" si="96"/>
        <v>1684.9063640310915</v>
      </c>
      <c r="O205" s="6">
        <f t="shared" si="97"/>
        <v>0.10117156811493995</v>
      </c>
      <c r="P205" s="6">
        <f t="shared" si="98"/>
        <v>0.45711543590137788</v>
      </c>
      <c r="Q205" s="6">
        <f t="shared" si="99"/>
        <v>1.84070425192959E-2</v>
      </c>
      <c r="R205" s="6">
        <f t="shared" si="100"/>
        <v>1.8610327317412891E-2</v>
      </c>
      <c r="S205" s="6">
        <f t="shared" si="101"/>
        <v>2.9074117597961503E-2</v>
      </c>
      <c r="T205" s="6">
        <f t="shared" si="102"/>
        <v>0.375621508549012</v>
      </c>
      <c r="V205" s="6">
        <f t="shared" si="103"/>
        <v>17.705024420114491</v>
      </c>
      <c r="W205" s="6">
        <f t="shared" si="104"/>
        <v>79.995201282741135</v>
      </c>
      <c r="X205" s="6">
        <f t="shared" si="105"/>
        <v>3.2212324408767823</v>
      </c>
      <c r="Y205" s="6">
        <f t="shared" si="106"/>
        <v>3.2568072805472559</v>
      </c>
      <c r="Z205" s="6">
        <f t="shared" si="107"/>
        <v>5.0879705796432635</v>
      </c>
      <c r="AA205" s="6">
        <f t="shared" si="108"/>
        <v>65.733763996077101</v>
      </c>
      <c r="AC205" s="14">
        <f t="shared" si="109"/>
        <v>5.5959483820857137E-3</v>
      </c>
      <c r="AD205" s="17"/>
      <c r="AE205" s="15">
        <f t="shared" si="110"/>
        <v>-7.688702112067866E-4</v>
      </c>
    </row>
    <row r="206" spans="2:31" x14ac:dyDescent="0.2">
      <c r="B206" s="6">
        <f t="shared" si="86"/>
        <v>191</v>
      </c>
      <c r="C206" s="6">
        <f t="shared" si="87"/>
        <v>113.23219078786019</v>
      </c>
      <c r="D206" s="6">
        <f t="shared" si="88"/>
        <v>3761.0730262620045</v>
      </c>
      <c r="E206" s="6">
        <f t="shared" si="89"/>
        <v>0.62490561176447057</v>
      </c>
      <c r="F206" s="6">
        <f t="shared" si="90"/>
        <v>-0.10406260742098207</v>
      </c>
      <c r="H206" s="6">
        <f t="shared" si="91"/>
        <v>453.28951480665137</v>
      </c>
      <c r="I206" s="6">
        <f t="shared" si="92"/>
        <v>2048.6985111165977</v>
      </c>
      <c r="J206" s="6">
        <f t="shared" si="93"/>
        <v>83.182723659120171</v>
      </c>
      <c r="K206" s="6">
        <f t="shared" si="94"/>
        <v>83.394876952752611</v>
      </c>
      <c r="L206" s="6">
        <f t="shared" si="95"/>
        <v>130.94695661635413</v>
      </c>
      <c r="M206" s="6">
        <f t="shared" si="96"/>
        <v>1684.9063640310915</v>
      </c>
      <c r="O206" s="6">
        <f t="shared" si="97"/>
        <v>0.10108099179525594</v>
      </c>
      <c r="P206" s="6">
        <f t="shared" si="98"/>
        <v>0.45684815251343469</v>
      </c>
      <c r="Q206" s="6">
        <f t="shared" si="99"/>
        <v>1.8549275756535082E-2</v>
      </c>
      <c r="R206" s="6">
        <f t="shared" si="100"/>
        <v>1.8596584738173768E-2</v>
      </c>
      <c r="S206" s="6">
        <f t="shared" si="101"/>
        <v>2.9200428898068134E-2</v>
      </c>
      <c r="T206" s="6">
        <f t="shared" si="102"/>
        <v>0.3757245662985324</v>
      </c>
      <c r="V206" s="6">
        <f t="shared" si="103"/>
        <v>17.689173564169788</v>
      </c>
      <c r="W206" s="6">
        <f t="shared" si="104"/>
        <v>79.948426689851075</v>
      </c>
      <c r="X206" s="6">
        <f t="shared" si="105"/>
        <v>3.2461232573936392</v>
      </c>
      <c r="Y206" s="6">
        <f t="shared" si="106"/>
        <v>3.2544023291804094</v>
      </c>
      <c r="Z206" s="6">
        <f t="shared" si="107"/>
        <v>5.1100750571619233</v>
      </c>
      <c r="AA206" s="6">
        <f t="shared" si="108"/>
        <v>65.751799102243169</v>
      </c>
      <c r="AC206" s="14">
        <f t="shared" si="109"/>
        <v>5.5187982093822365E-3</v>
      </c>
      <c r="AD206" s="17"/>
      <c r="AE206" s="15">
        <f t="shared" si="110"/>
        <v>-9.1901964182555405E-4</v>
      </c>
    </row>
    <row r="207" spans="2:31" x14ac:dyDescent="0.2">
      <c r="B207" s="6">
        <f t="shared" si="86"/>
        <v>192</v>
      </c>
      <c r="C207" s="6">
        <f t="shared" si="87"/>
        <v>116.62915651149599</v>
      </c>
      <c r="D207" s="6">
        <f t="shared" si="88"/>
        <v>3874.305217049865</v>
      </c>
      <c r="E207" s="6">
        <f t="shared" si="89"/>
        <v>0.63491072430582807</v>
      </c>
      <c r="F207" s="6">
        <f t="shared" si="90"/>
        <v>-0.12343011313282216</v>
      </c>
      <c r="H207" s="6">
        <f t="shared" si="91"/>
        <v>452.76867180230789</v>
      </c>
      <c r="I207" s="6">
        <f t="shared" si="92"/>
        <v>2046.9278568887253</v>
      </c>
      <c r="J207" s="6">
        <f t="shared" si="93"/>
        <v>83.807629270884647</v>
      </c>
      <c r="K207" s="6">
        <f t="shared" si="94"/>
        <v>83.290814345331626</v>
      </c>
      <c r="L207" s="6">
        <f t="shared" si="95"/>
        <v>131.4677996206976</v>
      </c>
      <c r="M207" s="6">
        <f t="shared" si="96"/>
        <v>1684.9063640310915</v>
      </c>
      <c r="O207" s="6">
        <f t="shared" si="97"/>
        <v>0.10099299358810644</v>
      </c>
      <c r="P207" s="6">
        <f t="shared" si="98"/>
        <v>0.45658055603357173</v>
      </c>
      <c r="Q207" s="6">
        <f t="shared" si="99"/>
        <v>1.8693836152348629E-2</v>
      </c>
      <c r="R207" s="6">
        <f t="shared" si="100"/>
        <v>1.8578557225794712E-2</v>
      </c>
      <c r="S207" s="6">
        <f t="shared" si="101"/>
        <v>2.9324746765900019E-2</v>
      </c>
      <c r="T207" s="6">
        <f t="shared" si="102"/>
        <v>0.3758293102342784</v>
      </c>
      <c r="V207" s="6">
        <f t="shared" si="103"/>
        <v>17.673773877918627</v>
      </c>
      <c r="W207" s="6">
        <f t="shared" si="104"/>
        <v>79.901597305875057</v>
      </c>
      <c r="X207" s="6">
        <f t="shared" si="105"/>
        <v>3.2714213266610099</v>
      </c>
      <c r="Y207" s="6">
        <f t="shared" si="106"/>
        <v>3.2512475145140747</v>
      </c>
      <c r="Z207" s="6">
        <f t="shared" si="107"/>
        <v>5.1318306840325034</v>
      </c>
      <c r="AA207" s="6">
        <f t="shared" si="108"/>
        <v>65.770129290998725</v>
      </c>
      <c r="AC207" s="14">
        <f t="shared" si="109"/>
        <v>5.4438422028992867E-3</v>
      </c>
      <c r="AD207" s="17"/>
      <c r="AE207" s="15">
        <f t="shared" si="110"/>
        <v>-1.0583126623286161E-3</v>
      </c>
    </row>
    <row r="208" spans="2:31" x14ac:dyDescent="0.2">
      <c r="B208" s="6">
        <f t="shared" si="86"/>
        <v>193</v>
      </c>
      <c r="C208" s="6">
        <f t="shared" si="87"/>
        <v>120.12803120684087</v>
      </c>
      <c r="D208" s="6">
        <f t="shared" si="88"/>
        <v>3990.9343735613611</v>
      </c>
      <c r="E208" s="6">
        <f t="shared" si="89"/>
        <v>0.64520145451610589</v>
      </c>
      <c r="F208" s="6">
        <f t="shared" si="90"/>
        <v>-0.14259082970926368</v>
      </c>
      <c r="H208" s="6">
        <f t="shared" si="91"/>
        <v>452.25719119113489</v>
      </c>
      <c r="I208" s="6">
        <f t="shared" si="92"/>
        <v>2045.1465548289407</v>
      </c>
      <c r="J208" s="6">
        <f t="shared" si="93"/>
        <v>84.442539995190472</v>
      </c>
      <c r="K208" s="6">
        <f t="shared" si="94"/>
        <v>83.167384232198799</v>
      </c>
      <c r="L208" s="6">
        <f t="shared" si="95"/>
        <v>131.9792802318706</v>
      </c>
      <c r="M208" s="6">
        <f t="shared" si="96"/>
        <v>1684.9063640310915</v>
      </c>
      <c r="O208" s="6">
        <f t="shared" si="97"/>
        <v>0.10090748574536787</v>
      </c>
      <c r="P208" s="6">
        <f t="shared" si="98"/>
        <v>0.45631247185934143</v>
      </c>
      <c r="Q208" s="6">
        <f t="shared" si="99"/>
        <v>1.8840793616626442E-2</v>
      </c>
      <c r="R208" s="6">
        <f t="shared" si="100"/>
        <v>1.8556281254007479E-2</v>
      </c>
      <c r="S208" s="6">
        <f t="shared" si="101"/>
        <v>2.9447176513889881E-2</v>
      </c>
      <c r="T208" s="6">
        <f t="shared" si="102"/>
        <v>0.37593579101076696</v>
      </c>
      <c r="V208" s="6">
        <f t="shared" si="103"/>
        <v>17.658810005439378</v>
      </c>
      <c r="W208" s="6">
        <f t="shared" si="104"/>
        <v>79.854682575384743</v>
      </c>
      <c r="X208" s="6">
        <f t="shared" si="105"/>
        <v>3.2971388829096275</v>
      </c>
      <c r="Y208" s="6">
        <f t="shared" si="106"/>
        <v>3.2473492194513089</v>
      </c>
      <c r="Z208" s="6">
        <f t="shared" si="107"/>
        <v>5.1532558899307288</v>
      </c>
      <c r="AA208" s="6">
        <f t="shared" si="108"/>
        <v>65.788763426884216</v>
      </c>
      <c r="AC208" s="14">
        <f t="shared" si="109"/>
        <v>5.3709483792768915E-3</v>
      </c>
      <c r="AD208" s="17"/>
      <c r="AE208" s="15">
        <f t="shared" si="110"/>
        <v>-1.1869904823774689E-3</v>
      </c>
    </row>
    <row r="209" spans="2:31" x14ac:dyDescent="0.2">
      <c r="B209" s="6">
        <f t="shared" si="86"/>
        <v>194</v>
      </c>
      <c r="C209" s="6">
        <f t="shared" si="87"/>
        <v>123.7318721430461</v>
      </c>
      <c r="D209" s="6">
        <f t="shared" si="88"/>
        <v>4111.0624047682022</v>
      </c>
      <c r="E209" s="6">
        <f t="shared" si="89"/>
        <v>0.65577728265031177</v>
      </c>
      <c r="F209" s="6">
        <f t="shared" si="90"/>
        <v>-0.16150896100553133</v>
      </c>
      <c r="H209" s="6">
        <f t="shared" si="91"/>
        <v>451.75458056632806</v>
      </c>
      <c r="I209" s="6">
        <f t="shared" si="92"/>
        <v>2043.3535412951016</v>
      </c>
      <c r="J209" s="6">
        <f t="shared" si="93"/>
        <v>85.087741449706584</v>
      </c>
      <c r="K209" s="6">
        <f t="shared" si="94"/>
        <v>83.024793402489536</v>
      </c>
      <c r="L209" s="6">
        <f t="shared" si="95"/>
        <v>132.48189085667744</v>
      </c>
      <c r="M209" s="6">
        <f t="shared" si="96"/>
        <v>1684.9063640310915</v>
      </c>
      <c r="O209" s="6">
        <f t="shared" si="97"/>
        <v>0.10082437219562382</v>
      </c>
      <c r="P209" s="6">
        <f t="shared" si="98"/>
        <v>0.45604371673777599</v>
      </c>
      <c r="Q209" s="6">
        <f t="shared" si="99"/>
        <v>1.8990218322646628E-2</v>
      </c>
      <c r="R209" s="6">
        <f t="shared" si="100"/>
        <v>1.8529801426658325E-2</v>
      </c>
      <c r="S209" s="6">
        <f t="shared" si="101"/>
        <v>2.9567831843937402E-2</v>
      </c>
      <c r="T209" s="6">
        <f t="shared" si="102"/>
        <v>0.37604405947335767</v>
      </c>
      <c r="V209" s="6">
        <f t="shared" si="103"/>
        <v>17.644265134234168</v>
      </c>
      <c r="W209" s="6">
        <f t="shared" si="104"/>
        <v>79.807650429110794</v>
      </c>
      <c r="X209" s="6">
        <f t="shared" si="105"/>
        <v>3.3232882064631597</v>
      </c>
      <c r="Y209" s="6">
        <f t="shared" si="106"/>
        <v>3.2427152496652067</v>
      </c>
      <c r="Z209" s="6">
        <f t="shared" si="107"/>
        <v>5.1743705726890452</v>
      </c>
      <c r="AA209" s="6">
        <f t="shared" si="108"/>
        <v>65.80771040783759</v>
      </c>
      <c r="AC209" s="14">
        <f t="shared" si="109"/>
        <v>5.2999867478944257E-3</v>
      </c>
      <c r="AD209" s="17"/>
      <c r="AE209" s="15">
        <f t="shared" si="110"/>
        <v>-1.3053141297240797E-3</v>
      </c>
    </row>
    <row r="210" spans="2:31" x14ac:dyDescent="0.2">
      <c r="B210" s="6">
        <f t="shared" ref="B210:B273" si="111">B209+1</f>
        <v>195</v>
      </c>
      <c r="C210" s="6">
        <f t="shared" si="87"/>
        <v>127.44382830733748</v>
      </c>
      <c r="D210" s="6">
        <f t="shared" si="88"/>
        <v>4234.7942769112487</v>
      </c>
      <c r="E210" s="6">
        <f t="shared" si="89"/>
        <v>0.66663692836993427</v>
      </c>
      <c r="F210" s="6">
        <f t="shared" si="90"/>
        <v>-0.1801499464123725</v>
      </c>
      <c r="H210" s="6">
        <f t="shared" si="91"/>
        <v>451.26031224468329</v>
      </c>
      <c r="I210" s="6">
        <f t="shared" si="92"/>
        <v>2041.5477184081562</v>
      </c>
      <c r="J210" s="6">
        <f t="shared" si="93"/>
        <v>85.74351873235689</v>
      </c>
      <c r="K210" s="6">
        <f t="shared" si="94"/>
        <v>82.863284441483998</v>
      </c>
      <c r="L210" s="6">
        <f t="shared" si="95"/>
        <v>132.97615917832223</v>
      </c>
      <c r="M210" s="6">
        <f t="shared" si="96"/>
        <v>1684.9063640310915</v>
      </c>
      <c r="O210" s="6">
        <f t="shared" si="97"/>
        <v>0.10074354888180001</v>
      </c>
      <c r="P210" s="6">
        <f t="shared" si="98"/>
        <v>0.45577409930182172</v>
      </c>
      <c r="Q210" s="6">
        <f t="shared" si="99"/>
        <v>1.9142180547060739E-2</v>
      </c>
      <c r="R210" s="6">
        <f t="shared" si="100"/>
        <v>1.8499170257433816E-2</v>
      </c>
      <c r="S210" s="6">
        <f t="shared" si="101"/>
        <v>2.9686834469572081E-2</v>
      </c>
      <c r="T210" s="6">
        <f t="shared" si="102"/>
        <v>0.37615416654231171</v>
      </c>
      <c r="V210" s="6">
        <f t="shared" si="103"/>
        <v>17.630121054315001</v>
      </c>
      <c r="W210" s="6">
        <f t="shared" si="104"/>
        <v>79.760467377818799</v>
      </c>
      <c r="X210" s="6">
        <f t="shared" si="105"/>
        <v>3.3498815957356292</v>
      </c>
      <c r="Y210" s="6">
        <f t="shared" si="106"/>
        <v>3.2373547950509178</v>
      </c>
      <c r="Z210" s="6">
        <f t="shared" si="107"/>
        <v>5.1951960321751143</v>
      </c>
      <c r="AA210" s="6">
        <f t="shared" si="108"/>
        <v>65.826979144904556</v>
      </c>
      <c r="AC210" s="14">
        <f t="shared" si="109"/>
        <v>5.2308294346141608E-3</v>
      </c>
      <c r="AD210" s="17"/>
      <c r="AE210" s="15">
        <f t="shared" si="110"/>
        <v>-1.4135635189640682E-3</v>
      </c>
    </row>
    <row r="211" spans="2:31" x14ac:dyDescent="0.2">
      <c r="B211" s="6">
        <f t="shared" si="111"/>
        <v>196</v>
      </c>
      <c r="C211" s="6">
        <f t="shared" si="87"/>
        <v>131.26714315655761</v>
      </c>
      <c r="D211" s="6">
        <f t="shared" si="88"/>
        <v>4362.2381052185865</v>
      </c>
      <c r="E211" s="6">
        <f t="shared" si="89"/>
        <v>0.67777831211883666</v>
      </c>
      <c r="F211" s="6">
        <f t="shared" si="90"/>
        <v>-0.19848069379485689</v>
      </c>
      <c r="H211" s="6">
        <f t="shared" si="91"/>
        <v>450.77382526272572</v>
      </c>
      <c r="I211" s="6">
        <f t="shared" si="92"/>
        <v>2039.727957569459</v>
      </c>
      <c r="J211" s="6">
        <f t="shared" si="93"/>
        <v>86.410155660726829</v>
      </c>
      <c r="K211" s="6">
        <f t="shared" si="94"/>
        <v>82.683134495071627</v>
      </c>
      <c r="L211" s="6">
        <f t="shared" si="95"/>
        <v>133.4626461602798</v>
      </c>
      <c r="M211" s="6">
        <f t="shared" si="96"/>
        <v>1684.9063640310915</v>
      </c>
      <c r="O211" s="6">
        <f t="shared" si="97"/>
        <v>0.1006649041594537</v>
      </c>
      <c r="P211" s="6">
        <f t="shared" si="98"/>
        <v>0.45550342067979516</v>
      </c>
      <c r="Q211" s="6">
        <f t="shared" si="99"/>
        <v>1.9296750499922636E-2</v>
      </c>
      <c r="R211" s="6">
        <f t="shared" si="100"/>
        <v>1.8464447896233815E-2</v>
      </c>
      <c r="S211" s="6">
        <f t="shared" si="101"/>
        <v>2.9804313674959473E-2</v>
      </c>
      <c r="T211" s="6">
        <f t="shared" si="102"/>
        <v>0.37626616308963512</v>
      </c>
      <c r="V211" s="6">
        <f t="shared" si="103"/>
        <v>17.616358227904396</v>
      </c>
      <c r="W211" s="6">
        <f t="shared" si="104"/>
        <v>79.713098618964153</v>
      </c>
      <c r="X211" s="6">
        <f t="shared" si="105"/>
        <v>3.3769313374864613</v>
      </c>
      <c r="Y211" s="6">
        <f t="shared" si="106"/>
        <v>3.2312783818409176</v>
      </c>
      <c r="Z211" s="6">
        <f t="shared" si="107"/>
        <v>5.2157548931179081</v>
      </c>
      <c r="AA211" s="6">
        <f t="shared" si="108"/>
        <v>65.846578540686153</v>
      </c>
      <c r="AC211" s="14">
        <f t="shared" si="109"/>
        <v>5.1633508265695616E-3</v>
      </c>
      <c r="AD211" s="17"/>
      <c r="AE211" s="15">
        <f t="shared" si="110"/>
        <v>-1.5120363635714696E-3</v>
      </c>
    </row>
    <row r="212" spans="2:31" x14ac:dyDescent="0.2">
      <c r="B212" s="6">
        <f t="shared" si="111"/>
        <v>197</v>
      </c>
      <c r="C212" s="6">
        <f t="shared" si="87"/>
        <v>135.20515745125434</v>
      </c>
      <c r="D212" s="6">
        <f t="shared" si="88"/>
        <v>4493.5052483751442</v>
      </c>
      <c r="E212" s="6">
        <f t="shared" si="89"/>
        <v>0.68919851979014002</v>
      </c>
      <c r="F212" s="6">
        <f t="shared" si="90"/>
        <v>-0.21646980308428473</v>
      </c>
      <c r="H212" s="6">
        <f t="shared" si="91"/>
        <v>450.29452764440174</v>
      </c>
      <c r="I212" s="6">
        <f t="shared" si="92"/>
        <v>2037.8931033268973</v>
      </c>
      <c r="J212" s="6">
        <f t="shared" si="93"/>
        <v>87.087933972845661</v>
      </c>
      <c r="K212" s="6">
        <f t="shared" si="94"/>
        <v>82.484653801276764</v>
      </c>
      <c r="L212" s="6">
        <f t="shared" si="95"/>
        <v>133.94194377860379</v>
      </c>
      <c r="M212" s="6">
        <f t="shared" si="96"/>
        <v>1684.9063640310915</v>
      </c>
      <c r="O212" s="6">
        <f t="shared" si="97"/>
        <v>0.1005883192540217</v>
      </c>
      <c r="P212" s="6">
        <f t="shared" si="98"/>
        <v>0.45523147517549778</v>
      </c>
      <c r="Q212" s="6">
        <f t="shared" si="99"/>
        <v>1.9453998145301844E-2</v>
      </c>
      <c r="R212" s="6">
        <f t="shared" si="100"/>
        <v>1.8425701803492556E-2</v>
      </c>
      <c r="S212" s="6">
        <f t="shared" si="101"/>
        <v>2.9920405812584219E-2</v>
      </c>
      <c r="T212" s="6">
        <f t="shared" si="102"/>
        <v>0.37638009980910192</v>
      </c>
      <c r="V212" s="6">
        <f t="shared" si="103"/>
        <v>17.602955869453798</v>
      </c>
      <c r="W212" s="6">
        <f t="shared" si="104"/>
        <v>79.665508155712118</v>
      </c>
      <c r="X212" s="6">
        <f t="shared" si="105"/>
        <v>3.4044496754278226</v>
      </c>
      <c r="Y212" s="6">
        <f t="shared" si="106"/>
        <v>3.2244978156111972</v>
      </c>
      <c r="Z212" s="6">
        <f t="shared" si="107"/>
        <v>5.2360710172022387</v>
      </c>
      <c r="AA212" s="6">
        <f t="shared" si="108"/>
        <v>65.866517466592839</v>
      </c>
      <c r="AC212" s="14">
        <f t="shared" si="109"/>
        <v>5.0974277370936646E-3</v>
      </c>
      <c r="AD212" s="17"/>
      <c r="AE212" s="15">
        <f t="shared" si="110"/>
        <v>-1.6010469361150577E-3</v>
      </c>
    </row>
    <row r="213" spans="2:31" x14ac:dyDescent="0.2">
      <c r="B213" s="6">
        <f t="shared" si="111"/>
        <v>198</v>
      </c>
      <c r="C213" s="6">
        <f t="shared" si="87"/>
        <v>139.26131217479198</v>
      </c>
      <c r="D213" s="6">
        <f t="shared" si="88"/>
        <v>4628.7104058263985</v>
      </c>
      <c r="E213" s="6">
        <f t="shared" si="89"/>
        <v>0.70089377132622199</v>
      </c>
      <c r="F213" s="6">
        <f t="shared" si="90"/>
        <v>-0.2340877771476442</v>
      </c>
      <c r="H213" s="6">
        <f t="shared" si="91"/>
        <v>449.82179892769591</v>
      </c>
      <c r="I213" s="6">
        <f t="shared" si="92"/>
        <v>2036.0419775706112</v>
      </c>
      <c r="J213" s="6">
        <f t="shared" si="93"/>
        <v>87.777132492635801</v>
      </c>
      <c r="K213" s="6">
        <f t="shared" si="94"/>
        <v>82.268183998192484</v>
      </c>
      <c r="L213" s="6">
        <f t="shared" si="95"/>
        <v>134.41467249530965</v>
      </c>
      <c r="M213" s="6">
        <f t="shared" si="96"/>
        <v>1684.9063640310915</v>
      </c>
      <c r="O213" s="6">
        <f t="shared" si="97"/>
        <v>0.10051366877447958</v>
      </c>
      <c r="P213" s="6">
        <f t="shared" si="98"/>
        <v>0.45495805101558479</v>
      </c>
      <c r="Q213" s="6">
        <f t="shared" si="99"/>
        <v>1.9613993013167814E-2</v>
      </c>
      <c r="R213" s="6">
        <f t="shared" si="100"/>
        <v>1.8383006374489707E-2</v>
      </c>
      <c r="S213" s="6">
        <f t="shared" si="101"/>
        <v>3.0035253742327805E-2</v>
      </c>
      <c r="T213" s="6">
        <f t="shared" si="102"/>
        <v>0.3764960270799505</v>
      </c>
      <c r="V213" s="6">
        <f t="shared" si="103"/>
        <v>17.589892035533925</v>
      </c>
      <c r="W213" s="6">
        <f t="shared" si="104"/>
        <v>79.617658927727334</v>
      </c>
      <c r="X213" s="6">
        <f t="shared" si="105"/>
        <v>3.4324487773043675</v>
      </c>
      <c r="Y213" s="6">
        <f t="shared" si="106"/>
        <v>3.2170261155356985</v>
      </c>
      <c r="Z213" s="6">
        <f t="shared" si="107"/>
        <v>5.2561694049073662</v>
      </c>
      <c r="AA213" s="6">
        <f t="shared" si="108"/>
        <v>65.886804738991344</v>
      </c>
      <c r="AC213" s="14">
        <f t="shared" si="109"/>
        <v>5.0329395894712272E-3</v>
      </c>
      <c r="AD213" s="17"/>
      <c r="AE213" s="15">
        <f t="shared" si="110"/>
        <v>-1.6809246839052617E-3</v>
      </c>
    </row>
    <row r="214" spans="2:31" x14ac:dyDescent="0.2">
      <c r="B214" s="6">
        <f t="shared" si="111"/>
        <v>199</v>
      </c>
      <c r="C214" s="6">
        <f t="shared" si="87"/>
        <v>143.43915154003574</v>
      </c>
      <c r="D214" s="6">
        <f t="shared" si="88"/>
        <v>4767.9717180011903</v>
      </c>
      <c r="E214" s="6">
        <f t="shared" si="89"/>
        <v>0.71285939388316577</v>
      </c>
      <c r="F214" s="6">
        <f t="shared" si="90"/>
        <v>-0.25130721656877575</v>
      </c>
      <c r="H214" s="6">
        <f t="shared" si="91"/>
        <v>449.35499293351734</v>
      </c>
      <c r="I214" s="6">
        <f t="shared" si="92"/>
        <v>2034.1733840337802</v>
      </c>
      <c r="J214" s="6">
        <f t="shared" si="93"/>
        <v>88.478026263962022</v>
      </c>
      <c r="K214" s="6">
        <f t="shared" si="94"/>
        <v>82.034096221044834</v>
      </c>
      <c r="L214" s="6">
        <f t="shared" si="95"/>
        <v>134.88147848948825</v>
      </c>
      <c r="M214" s="6">
        <f t="shared" si="96"/>
        <v>1684.9063640310915</v>
      </c>
      <c r="O214" s="6">
        <f t="shared" si="97"/>
        <v>0.10044082128000451</v>
      </c>
      <c r="P214" s="6">
        <f t="shared" si="98"/>
        <v>0.45468293115974662</v>
      </c>
      <c r="Q214" s="6">
        <f t="shared" si="99"/>
        <v>1.9776804003379504E-2</v>
      </c>
      <c r="R214" s="6">
        <f t="shared" si="100"/>
        <v>1.8336442516448712E-2</v>
      </c>
      <c r="S214" s="6">
        <f t="shared" si="101"/>
        <v>3.0149006215559836E-2</v>
      </c>
      <c r="T214" s="6">
        <f t="shared" si="102"/>
        <v>0.37661399482486085</v>
      </c>
      <c r="V214" s="6">
        <f t="shared" si="103"/>
        <v>17.577143724000788</v>
      </c>
      <c r="W214" s="6">
        <f t="shared" si="104"/>
        <v>79.569512952955662</v>
      </c>
      <c r="X214" s="6">
        <f t="shared" si="105"/>
        <v>3.4609407005914132</v>
      </c>
      <c r="Y214" s="6">
        <f t="shared" si="106"/>
        <v>3.2088774403785245</v>
      </c>
      <c r="Z214" s="6">
        <f t="shared" si="107"/>
        <v>5.2760760877229718</v>
      </c>
      <c r="AA214" s="6">
        <f t="shared" si="108"/>
        <v>65.907449094350653</v>
      </c>
      <c r="AC214" s="14">
        <f t="shared" si="109"/>
        <v>4.9697686177695875E-3</v>
      </c>
      <c r="AD214" s="17"/>
      <c r="AE214" s="15">
        <f t="shared" si="110"/>
        <v>-1.7520127097142835E-3</v>
      </c>
    </row>
    <row r="215" spans="2:31" x14ac:dyDescent="0.2">
      <c r="B215" s="6">
        <f t="shared" si="111"/>
        <v>200</v>
      </c>
      <c r="C215" s="6">
        <f t="shared" si="87"/>
        <v>147.7423260862368</v>
      </c>
      <c r="D215" s="6">
        <f t="shared" si="88"/>
        <v>4911.410869541226</v>
      </c>
      <c r="E215" s="6">
        <f t="shared" si="89"/>
        <v>0.7250898001646201</v>
      </c>
      <c r="F215" s="6">
        <f t="shared" si="90"/>
        <v>-0.268102995057663</v>
      </c>
      <c r="H215" s="6">
        <f t="shared" si="91"/>
        <v>448.89344075620295</v>
      </c>
      <c r="I215" s="6">
        <f t="shared" si="92"/>
        <v>2032.2861130686995</v>
      </c>
      <c r="J215" s="6">
        <f t="shared" si="93"/>
        <v>89.190885657845186</v>
      </c>
      <c r="K215" s="6">
        <f t="shared" si="94"/>
        <v>81.782789004476058</v>
      </c>
      <c r="L215" s="6">
        <f t="shared" si="95"/>
        <v>135.34303066680266</v>
      </c>
      <c r="M215" s="6">
        <f t="shared" si="96"/>
        <v>1684.9063640310915</v>
      </c>
      <c r="O215" s="6">
        <f t="shared" si="97"/>
        <v>0.100369639895371</v>
      </c>
      <c r="P215" s="6">
        <f t="shared" si="98"/>
        <v>0.45440589416821398</v>
      </c>
      <c r="Q215" s="6">
        <f t="shared" si="99"/>
        <v>1.9942499182760511E-2</v>
      </c>
      <c r="R215" s="6">
        <f t="shared" si="100"/>
        <v>1.8286097181973448E-2</v>
      </c>
      <c r="S215" s="6">
        <f t="shared" si="101"/>
        <v>3.0261817208759079E-2</v>
      </c>
      <c r="T215" s="6">
        <f t="shared" si="102"/>
        <v>0.37673405236292185</v>
      </c>
      <c r="V215" s="6">
        <f t="shared" si="103"/>
        <v>17.564686981689924</v>
      </c>
      <c r="W215" s="6">
        <f t="shared" si="104"/>
        <v>79.52103147943744</v>
      </c>
      <c r="X215" s="6">
        <f t="shared" si="105"/>
        <v>3.4899373569830892</v>
      </c>
      <c r="Y215" s="6">
        <f t="shared" si="106"/>
        <v>3.2000670068453534</v>
      </c>
      <c r="Z215" s="6">
        <f t="shared" si="107"/>
        <v>5.2958180115328393</v>
      </c>
      <c r="AA215" s="6">
        <f t="shared" si="108"/>
        <v>65.92845916351132</v>
      </c>
      <c r="AC215" s="14">
        <f t="shared" si="109"/>
        <v>4.9078000825666379E-3</v>
      </c>
      <c r="AD215" s="17"/>
      <c r="AE215" s="15">
        <f t="shared" si="110"/>
        <v>-1.8146661296044031E-3</v>
      </c>
    </row>
    <row r="216" spans="2:31" x14ac:dyDescent="0.2">
      <c r="B216" s="6">
        <f t="shared" si="111"/>
        <v>201</v>
      </c>
      <c r="C216" s="6">
        <f t="shared" ref="C216:C279" si="112">C215*C$13</f>
        <v>152.1745958688239</v>
      </c>
      <c r="D216" s="6">
        <f t="shared" ref="D216:D279" si="113">D215+C215</f>
        <v>5059.153195627463</v>
      </c>
      <c r="E216" s="6">
        <f t="shared" ref="E216:E279" si="114">AC216*C216</f>
        <v>0.73757847248714092</v>
      </c>
      <c r="F216" s="6">
        <f t="shared" ref="F216:F279" si="115">AE216*C216</f>
        <v>-0.28445241236361668</v>
      </c>
      <c r="H216" s="6">
        <f t="shared" ref="H216:H279" si="116">H215-E215-F215</f>
        <v>448.43645395109604</v>
      </c>
      <c r="I216" s="6">
        <f t="shared" ref="I216:I279" si="117">I215-3*E215-F215</f>
        <v>2030.3789466632634</v>
      </c>
      <c r="J216" s="6">
        <f t="shared" ref="J216:J279" si="118">J215+E215</f>
        <v>89.915975458009811</v>
      </c>
      <c r="K216" s="6">
        <f t="shared" ref="K216:K279" si="119">K215+F215</f>
        <v>81.514686009418398</v>
      </c>
      <c r="L216" s="6">
        <f t="shared" ref="L216:L279" si="120">L215+E215+F215</f>
        <v>135.80001747190963</v>
      </c>
      <c r="M216" s="6">
        <f t="shared" ref="M216:M279" si="121">M215</f>
        <v>1684.9063640310915</v>
      </c>
      <c r="O216" s="6">
        <f t="shared" ref="O216:O279" si="122">H216/SUM($H216:$M216)</f>
        <v>0.1002999829699691</v>
      </c>
      <c r="P216" s="6">
        <f t="shared" ref="P216:P279" si="123">I216/SUM($H216:$M216)</f>
        <v>0.4541267151200819</v>
      </c>
      <c r="Q216" s="6">
        <f t="shared" ref="Q216:Q279" si="124">J216/SUM($H216:$M216)</f>
        <v>2.0111145576380947E-2</v>
      </c>
      <c r="R216" s="6">
        <f t="shared" ref="R216:R279" si="125">K216/SUM($H216:$M216)</f>
        <v>1.8232062863111177E-2</v>
      </c>
      <c r="S216" s="6">
        <f t="shared" ref="S216:S279" si="126">L216/SUM($H216:$M216)</f>
        <v>3.0373845212056383E-2</v>
      </c>
      <c r="T216" s="6">
        <f t="shared" ref="T216:T279" si="127">M216/SUM($H216:$M216)</f>
        <v>0.37685624825840047</v>
      </c>
      <c r="V216" s="6">
        <f t="shared" ref="V216:V279" si="128">O216*$G$8</f>
        <v>17.552497019744592</v>
      </c>
      <c r="W216" s="6">
        <f t="shared" ref="W216:W279" si="129">P216*$G$8</f>
        <v>79.472175146014337</v>
      </c>
      <c r="X216" s="6">
        <f t="shared" ref="X216:X279" si="130">Q216*$G$8</f>
        <v>3.5194504758666656</v>
      </c>
      <c r="Y216" s="6">
        <f t="shared" ref="Y216:Y279" si="131">R216*$G$8</f>
        <v>3.1906110010444557</v>
      </c>
      <c r="Z216" s="6">
        <f t="shared" ref="Z216:Z279" si="132">S216*$G$8</f>
        <v>5.3154229121098666</v>
      </c>
      <c r="AA216" s="6">
        <f t="shared" ref="AA216:AA279" si="133">T216*$G$8</f>
        <v>65.949843445220083</v>
      </c>
      <c r="AC216" s="14">
        <f t="shared" ref="AC216:AC279" si="134">$M$9*V216*W216*(1-(1/$I$9)*(Z216*X216/(W216^3*V216)))/(1+$O$9*Z216/W216+$Q$9*W216^0.5+$S$9*Z216)^3</f>
        <v>4.8469224989625822E-3</v>
      </c>
      <c r="AD216" s="17"/>
      <c r="AE216" s="15">
        <f t="shared" ref="AE216:AE279" si="135" xml:space="preserve"> $U$9*V216*(1-$K$9*Z216*Y216/(V216*W216))/(1+$O$9*Z216/W216+$Q$9*W216^0.5+$S$9*Z216)</f>
        <v>-1.8692503222339269E-3</v>
      </c>
    </row>
    <row r="217" spans="2:31" x14ac:dyDescent="0.2">
      <c r="B217" s="6">
        <f t="shared" si="111"/>
        <v>202</v>
      </c>
      <c r="C217" s="6">
        <f t="shared" si="112"/>
        <v>156.73983374488861</v>
      </c>
      <c r="D217" s="6">
        <f t="shared" si="113"/>
        <v>5211.3277914962873</v>
      </c>
      <c r="E217" s="6">
        <f t="shared" si="114"/>
        <v>0.75031795307902305</v>
      </c>
      <c r="F217" s="6">
        <f t="shared" si="115"/>
        <v>-0.30033532180790923</v>
      </c>
      <c r="H217" s="6">
        <f t="shared" si="116"/>
        <v>447.98332789097253</v>
      </c>
      <c r="I217" s="6">
        <f t="shared" si="117"/>
        <v>2028.4506636581657</v>
      </c>
      <c r="J217" s="6">
        <f t="shared" si="118"/>
        <v>90.653553930496955</v>
      </c>
      <c r="K217" s="6">
        <f t="shared" si="119"/>
        <v>81.230233597054777</v>
      </c>
      <c r="L217" s="6">
        <f t="shared" si="120"/>
        <v>136.25314353203316</v>
      </c>
      <c r="M217" s="6">
        <f t="shared" si="121"/>
        <v>1684.9063640310915</v>
      </c>
      <c r="O217" s="6">
        <f t="shared" si="122"/>
        <v>0.1002317047745352</v>
      </c>
      <c r="P217" s="6">
        <f t="shared" si="123"/>
        <v>0.45384516657498658</v>
      </c>
      <c r="Q217" s="6">
        <f t="shared" si="124"/>
        <v>2.0282808954299656E-2</v>
      </c>
      <c r="R217" s="6">
        <f t="shared" si="125"/>
        <v>1.8174437051032485E-2</v>
      </c>
      <c r="S217" s="6">
        <f t="shared" si="126"/>
        <v>3.0485252478924505E-2</v>
      </c>
      <c r="T217" s="6">
        <f t="shared" si="127"/>
        <v>0.37698063016622158</v>
      </c>
      <c r="V217" s="6">
        <f t="shared" si="128"/>
        <v>17.540548335543662</v>
      </c>
      <c r="W217" s="6">
        <f t="shared" si="129"/>
        <v>79.422904150622657</v>
      </c>
      <c r="X217" s="6">
        <f t="shared" si="130"/>
        <v>3.5494915670024398</v>
      </c>
      <c r="Y217" s="6">
        <f t="shared" si="131"/>
        <v>3.1805264839306848</v>
      </c>
      <c r="Z217" s="6">
        <f t="shared" si="132"/>
        <v>5.3349191838117882</v>
      </c>
      <c r="AA217" s="6">
        <f t="shared" si="133"/>
        <v>65.971610279088779</v>
      </c>
      <c r="AC217" s="14">
        <f t="shared" si="134"/>
        <v>4.7870278738476168E-3</v>
      </c>
      <c r="AD217" s="17"/>
      <c r="AE217" s="15">
        <f t="shared" si="135"/>
        <v>-1.9161390862308691E-3</v>
      </c>
    </row>
    <row r="218" spans="2:31" x14ac:dyDescent="0.2">
      <c r="B218" s="6">
        <f t="shared" si="111"/>
        <v>203</v>
      </c>
      <c r="C218" s="6">
        <f t="shared" si="112"/>
        <v>161.44202875723528</v>
      </c>
      <c r="D218" s="6">
        <f t="shared" si="113"/>
        <v>5368.0676252411758</v>
      </c>
      <c r="E218" s="6">
        <f t="shared" si="114"/>
        <v>0.76329984103754844</v>
      </c>
      <c r="F218" s="6">
        <f t="shared" si="115"/>
        <v>-0.31573422987222355</v>
      </c>
      <c r="H218" s="6">
        <f t="shared" si="116"/>
        <v>447.53334525970138</v>
      </c>
      <c r="I218" s="6">
        <f t="shared" si="117"/>
        <v>2026.5000451207366</v>
      </c>
      <c r="J218" s="6">
        <f t="shared" si="118"/>
        <v>91.403871883575974</v>
      </c>
      <c r="K218" s="6">
        <f t="shared" si="119"/>
        <v>80.92989827524687</v>
      </c>
      <c r="L218" s="6">
        <f t="shared" si="120"/>
        <v>136.70312616330426</v>
      </c>
      <c r="M218" s="6">
        <f t="shared" si="121"/>
        <v>1684.9063640310915</v>
      </c>
      <c r="O218" s="6">
        <f t="shared" si="122"/>
        <v>0.10016465622894759</v>
      </c>
      <c r="P218" s="6">
        <f t="shared" si="123"/>
        <v>0.45356101956978184</v>
      </c>
      <c r="Q218" s="6">
        <f t="shared" si="124"/>
        <v>2.0457553615139672E-2</v>
      </c>
      <c r="R218" s="6">
        <f t="shared" si="125"/>
        <v>1.8113321666969297E-2</v>
      </c>
      <c r="S218" s="6">
        <f t="shared" si="126"/>
        <v>3.0596204244007663E-2</v>
      </c>
      <c r="T218" s="6">
        <f t="shared" si="127"/>
        <v>0.37710724467515383</v>
      </c>
      <c r="V218" s="6">
        <f t="shared" si="128"/>
        <v>17.528814840065827</v>
      </c>
      <c r="W218" s="6">
        <f t="shared" si="129"/>
        <v>79.373178424711824</v>
      </c>
      <c r="X218" s="6">
        <f t="shared" si="130"/>
        <v>3.5800718826494426</v>
      </c>
      <c r="Y218" s="6">
        <f t="shared" si="131"/>
        <v>3.169831291719627</v>
      </c>
      <c r="Z218" s="6">
        <f t="shared" si="132"/>
        <v>5.3543357427013412</v>
      </c>
      <c r="AA218" s="6">
        <f t="shared" si="133"/>
        <v>65.993767818151923</v>
      </c>
      <c r="AC218" s="14">
        <f t="shared" si="134"/>
        <v>4.7280119490157235E-3</v>
      </c>
      <c r="AD218" s="17"/>
      <c r="AE218" s="15">
        <f t="shared" si="135"/>
        <v>-1.9557127242683602E-3</v>
      </c>
    </row>
    <row r="219" spans="2:31" x14ac:dyDescent="0.2">
      <c r="B219" s="6">
        <f t="shared" si="111"/>
        <v>204</v>
      </c>
      <c r="C219" s="6">
        <f t="shared" si="112"/>
        <v>166.28528961995235</v>
      </c>
      <c r="D219" s="6">
        <f t="shared" si="113"/>
        <v>5529.5096539984115</v>
      </c>
      <c r="E219" s="6">
        <f t="shared" si="114"/>
        <v>0.77651479627590325</v>
      </c>
      <c r="F219" s="6">
        <f t="shared" si="115"/>
        <v>-0.33063436567976112</v>
      </c>
      <c r="H219" s="6">
        <f t="shared" si="116"/>
        <v>447.08577964853606</v>
      </c>
      <c r="I219" s="6">
        <f t="shared" si="117"/>
        <v>2024.5258798274963</v>
      </c>
      <c r="J219" s="6">
        <f t="shared" si="118"/>
        <v>92.167171724613524</v>
      </c>
      <c r="K219" s="6">
        <f t="shared" si="119"/>
        <v>80.61416404537465</v>
      </c>
      <c r="L219" s="6">
        <f t="shared" si="120"/>
        <v>137.15069177446958</v>
      </c>
      <c r="M219" s="6">
        <f t="shared" si="121"/>
        <v>1684.9063640310915</v>
      </c>
      <c r="O219" s="6">
        <f t="shared" si="122"/>
        <v>0.10009868565378316</v>
      </c>
      <c r="P219" s="6">
        <f t="shared" si="123"/>
        <v>0.45327404464107723</v>
      </c>
      <c r="Q219" s="6">
        <f t="shared" si="124"/>
        <v>2.0635442167972678E-2</v>
      </c>
      <c r="R219" s="6">
        <f t="shared" si="125"/>
        <v>1.8048822470631869E-2</v>
      </c>
      <c r="S219" s="6">
        <f t="shared" si="126"/>
        <v>3.0706867916765083E-2</v>
      </c>
      <c r="T219" s="6">
        <f t="shared" si="127"/>
        <v>0.37723613714976995</v>
      </c>
      <c r="V219" s="6">
        <f t="shared" si="128"/>
        <v>17.517269989412053</v>
      </c>
      <c r="W219" s="6">
        <f t="shared" si="129"/>
        <v>79.32295781218852</v>
      </c>
      <c r="X219" s="6">
        <f t="shared" si="130"/>
        <v>3.6112023793952188</v>
      </c>
      <c r="Y219" s="6">
        <f t="shared" si="131"/>
        <v>3.1585439323605771</v>
      </c>
      <c r="Z219" s="6">
        <f t="shared" si="132"/>
        <v>5.3737018854338894</v>
      </c>
      <c r="AA219" s="6">
        <f t="shared" si="133"/>
        <v>66.016324001209739</v>
      </c>
      <c r="AC219" s="14">
        <f t="shared" si="134"/>
        <v>4.6697744463785103E-3</v>
      </c>
      <c r="AD219" s="17"/>
      <c r="AE219" s="15">
        <f t="shared" si="135"/>
        <v>-1.9883560742831262E-3</v>
      </c>
    </row>
    <row r="220" spans="2:31" x14ac:dyDescent="0.2">
      <c r="B220" s="6">
        <f t="shared" si="111"/>
        <v>205</v>
      </c>
      <c r="C220" s="6">
        <f t="shared" si="112"/>
        <v>171.27384830855092</v>
      </c>
      <c r="D220" s="6">
        <f t="shared" si="113"/>
        <v>5695.7949436183635</v>
      </c>
      <c r="E220" s="6">
        <f t="shared" si="114"/>
        <v>0.78995255068243253</v>
      </c>
      <c r="F220" s="6">
        <f t="shared" si="115"/>
        <v>-0.34502371868132042</v>
      </c>
      <c r="H220" s="6">
        <f t="shared" si="116"/>
        <v>446.63989921793996</v>
      </c>
      <c r="I220" s="6">
        <f t="shared" si="117"/>
        <v>2022.5269698043483</v>
      </c>
      <c r="J220" s="6">
        <f t="shared" si="118"/>
        <v>92.943686520889429</v>
      </c>
      <c r="K220" s="6">
        <f t="shared" si="119"/>
        <v>80.283529679694894</v>
      </c>
      <c r="L220" s="6">
        <f t="shared" si="120"/>
        <v>137.59657220506571</v>
      </c>
      <c r="M220" s="6">
        <f t="shared" si="121"/>
        <v>1684.9063640310915</v>
      </c>
      <c r="O220" s="6">
        <f t="shared" si="122"/>
        <v>0.10003363953777995</v>
      </c>
      <c r="P220" s="6">
        <f t="shared" si="123"/>
        <v>0.45298401286384676</v>
      </c>
      <c r="Q220" s="6">
        <f t="shared" si="124"/>
        <v>2.0816535314070354E-2</v>
      </c>
      <c r="R220" s="6">
        <f t="shared" si="125"/>
        <v>1.7981048452817398E-2</v>
      </c>
      <c r="S220" s="6">
        <f t="shared" si="126"/>
        <v>3.0817412259175059E-2</v>
      </c>
      <c r="T220" s="6">
        <f t="shared" si="127"/>
        <v>0.37736735157231044</v>
      </c>
      <c r="V220" s="6">
        <f t="shared" si="128"/>
        <v>17.505886919111493</v>
      </c>
      <c r="W220" s="6">
        <f t="shared" si="129"/>
        <v>79.272202251173184</v>
      </c>
      <c r="X220" s="6">
        <f t="shared" si="130"/>
        <v>3.6428936799623117</v>
      </c>
      <c r="Y220" s="6">
        <f t="shared" si="131"/>
        <v>3.1466834792430447</v>
      </c>
      <c r="Z220" s="6">
        <f t="shared" si="132"/>
        <v>5.3930471453556352</v>
      </c>
      <c r="AA220" s="6">
        <f t="shared" si="133"/>
        <v>66.039286525154324</v>
      </c>
      <c r="AC220" s="14">
        <f t="shared" si="134"/>
        <v>4.6122193112595215E-3</v>
      </c>
      <c r="AD220" s="17"/>
      <c r="AE220" s="15">
        <f t="shared" si="135"/>
        <v>-2.0144565097863511E-3</v>
      </c>
    </row>
    <row r="221" spans="2:31" x14ac:dyDescent="0.2">
      <c r="B221" s="6">
        <f t="shared" si="111"/>
        <v>206</v>
      </c>
      <c r="C221" s="6">
        <f t="shared" si="112"/>
        <v>176.41206375780746</v>
      </c>
      <c r="D221" s="6">
        <f t="shared" si="113"/>
        <v>5867.0687919269149</v>
      </c>
      <c r="E221" s="6">
        <f t="shared" si="114"/>
        <v>0.80360192659317309</v>
      </c>
      <c r="F221" s="6">
        <f t="shared" si="115"/>
        <v>-0.35889304340221473</v>
      </c>
      <c r="H221" s="6">
        <f t="shared" si="116"/>
        <v>446.19497038593886</v>
      </c>
      <c r="I221" s="6">
        <f t="shared" si="117"/>
        <v>2020.5021358709823</v>
      </c>
      <c r="J221" s="6">
        <f t="shared" si="118"/>
        <v>93.733639071571858</v>
      </c>
      <c r="K221" s="6">
        <f t="shared" si="119"/>
        <v>79.938505961013576</v>
      </c>
      <c r="L221" s="6">
        <f t="shared" si="120"/>
        <v>138.04150103706684</v>
      </c>
      <c r="M221" s="6">
        <f t="shared" si="121"/>
        <v>1684.9063640310915</v>
      </c>
      <c r="O221" s="6">
        <f t="shared" si="122"/>
        <v>9.9969363312921139E-2</v>
      </c>
      <c r="P221" s="6">
        <f t="shared" si="123"/>
        <v>0.45269069689581765</v>
      </c>
      <c r="Q221" s="6">
        <f t="shared" si="124"/>
        <v>2.1000891630139011E-2</v>
      </c>
      <c r="R221" s="6">
        <f t="shared" si="125"/>
        <v>1.7910111219309511E-2</v>
      </c>
      <c r="S221" s="6">
        <f t="shared" si="126"/>
        <v>3.0928006556190435E-2</v>
      </c>
      <c r="T221" s="6">
        <f t="shared" si="127"/>
        <v>0.37750093038562238</v>
      </c>
      <c r="V221" s="6">
        <f t="shared" si="128"/>
        <v>17.494638579761201</v>
      </c>
      <c r="W221" s="6">
        <f t="shared" si="129"/>
        <v>79.220871956768093</v>
      </c>
      <c r="X221" s="6">
        <f t="shared" si="130"/>
        <v>3.6751560352743269</v>
      </c>
      <c r="Y221" s="6">
        <f t="shared" si="131"/>
        <v>3.1342694633791646</v>
      </c>
      <c r="Z221" s="6">
        <f t="shared" si="132"/>
        <v>5.412401147333326</v>
      </c>
      <c r="AA221" s="6">
        <f t="shared" si="133"/>
        <v>66.062662817483911</v>
      </c>
      <c r="AC221" s="14">
        <f t="shared" si="134"/>
        <v>4.5552549495505128E-3</v>
      </c>
      <c r="AD221" s="17"/>
      <c r="AE221" s="15">
        <f t="shared" si="135"/>
        <v>-2.0344019323697256E-3</v>
      </c>
    </row>
    <row r="222" spans="2:31" x14ac:dyDescent="0.2">
      <c r="B222" s="6">
        <f t="shared" si="111"/>
        <v>207</v>
      </c>
      <c r="C222" s="6">
        <f t="shared" si="112"/>
        <v>181.7044256705417</v>
      </c>
      <c r="D222" s="6">
        <f t="shared" si="113"/>
        <v>6043.480855684722</v>
      </c>
      <c r="E222" s="6">
        <f t="shared" si="114"/>
        <v>0.81745086254680521</v>
      </c>
      <c r="F222" s="6">
        <f t="shared" si="115"/>
        <v>-0.37223583070718724</v>
      </c>
      <c r="H222" s="6">
        <f t="shared" si="116"/>
        <v>445.75026150274789</v>
      </c>
      <c r="I222" s="6">
        <f t="shared" si="117"/>
        <v>2018.450223134605</v>
      </c>
      <c r="J222" s="6">
        <f t="shared" si="118"/>
        <v>94.537240998165032</v>
      </c>
      <c r="K222" s="6">
        <f t="shared" si="119"/>
        <v>79.579612917611357</v>
      </c>
      <c r="L222" s="6">
        <f t="shared" si="120"/>
        <v>138.48620992025778</v>
      </c>
      <c r="M222" s="6">
        <f t="shared" si="121"/>
        <v>1684.9063640310915</v>
      </c>
      <c r="O222" s="6">
        <f t="shared" si="122"/>
        <v>9.9905702128567156E-2</v>
      </c>
      <c r="P222" s="6">
        <f t="shared" si="123"/>
        <v>0.45239387201701647</v>
      </c>
      <c r="Q222" s="6">
        <f t="shared" si="124"/>
        <v>2.1188567354684589E-2</v>
      </c>
      <c r="R222" s="6">
        <f t="shared" si="125"/>
        <v>1.7836124373433584E-2</v>
      </c>
      <c r="S222" s="6">
        <f t="shared" si="126"/>
        <v>3.1038819787932315E-2</v>
      </c>
      <c r="T222" s="6">
        <f t="shared" si="127"/>
        <v>0.37763691433836583</v>
      </c>
      <c r="V222" s="6">
        <f t="shared" si="128"/>
        <v>17.483497872499253</v>
      </c>
      <c r="W222" s="6">
        <f t="shared" si="129"/>
        <v>79.168927602977888</v>
      </c>
      <c r="X222" s="6">
        <f t="shared" si="130"/>
        <v>3.7079992870698031</v>
      </c>
      <c r="Y222" s="6">
        <f t="shared" si="131"/>
        <v>3.1213217653508774</v>
      </c>
      <c r="Z222" s="6">
        <f t="shared" si="132"/>
        <v>5.4317934628881552</v>
      </c>
      <c r="AA222" s="6">
        <f t="shared" si="133"/>
        <v>66.086460009214022</v>
      </c>
      <c r="AC222" s="14">
        <f t="shared" si="134"/>
        <v>4.4987944544012948E-3</v>
      </c>
      <c r="AD222" s="17"/>
      <c r="AE222" s="15">
        <f t="shared" si="135"/>
        <v>-2.0485787802555153E-3</v>
      </c>
    </row>
    <row r="223" spans="2:31" x14ac:dyDescent="0.2">
      <c r="B223" s="6">
        <f t="shared" si="111"/>
        <v>208</v>
      </c>
      <c r="C223" s="6">
        <f t="shared" si="112"/>
        <v>187.15555844065796</v>
      </c>
      <c r="D223" s="6">
        <f t="shared" si="113"/>
        <v>6225.1852813552632</v>
      </c>
      <c r="E223" s="6">
        <f t="shared" si="114"/>
        <v>0.83148644615263745</v>
      </c>
      <c r="F223" s="6">
        <f t="shared" si="115"/>
        <v>-0.38504824568652801</v>
      </c>
      <c r="H223" s="6">
        <f t="shared" si="116"/>
        <v>445.30504647090828</v>
      </c>
      <c r="I223" s="6">
        <f t="shared" si="117"/>
        <v>2016.3701063776718</v>
      </c>
      <c r="J223" s="6">
        <f t="shared" si="118"/>
        <v>95.354691860711839</v>
      </c>
      <c r="K223" s="6">
        <f t="shared" si="119"/>
        <v>79.207377086904174</v>
      </c>
      <c r="L223" s="6">
        <f t="shared" si="120"/>
        <v>138.93142495209739</v>
      </c>
      <c r="M223" s="6">
        <f t="shared" si="121"/>
        <v>1684.9063640310915</v>
      </c>
      <c r="O223" s="6">
        <f t="shared" si="122"/>
        <v>9.9842501615929682E-2</v>
      </c>
      <c r="P223" s="6">
        <f t="shared" si="123"/>
        <v>0.45209331715372142</v>
      </c>
      <c r="Q223" s="6">
        <f t="shared" si="124"/>
        <v>2.1379616179156794E-2</v>
      </c>
      <c r="R223" s="6">
        <f t="shared" si="125"/>
        <v>1.7759202904765254E-2</v>
      </c>
      <c r="S223" s="6">
        <f t="shared" si="126"/>
        <v>3.1150019812742912E-2</v>
      </c>
      <c r="T223" s="6">
        <f t="shared" si="127"/>
        <v>0.37777534233368404</v>
      </c>
      <c r="V223" s="6">
        <f t="shared" si="128"/>
        <v>17.472437782787694</v>
      </c>
      <c r="W223" s="6">
        <f t="shared" si="129"/>
        <v>79.116330501901245</v>
      </c>
      <c r="X223" s="6">
        <f t="shared" si="130"/>
        <v>3.741432831352439</v>
      </c>
      <c r="Y223" s="6">
        <f t="shared" si="131"/>
        <v>3.1078605083339195</v>
      </c>
      <c r="Z223" s="6">
        <f t="shared" si="132"/>
        <v>5.4512534672300097</v>
      </c>
      <c r="AA223" s="6">
        <f t="shared" si="133"/>
        <v>66.110684908394703</v>
      </c>
      <c r="AC223" s="14">
        <f t="shared" si="134"/>
        <v>4.4427558181034717E-3</v>
      </c>
      <c r="AD223" s="17"/>
      <c r="AE223" s="15">
        <f t="shared" si="135"/>
        <v>-2.0573700770346961E-3</v>
      </c>
    </row>
    <row r="224" spans="2:31" x14ac:dyDescent="0.2">
      <c r="B224" s="6">
        <f t="shared" si="111"/>
        <v>209</v>
      </c>
      <c r="C224" s="6">
        <f t="shared" si="112"/>
        <v>192.77022519387771</v>
      </c>
      <c r="D224" s="6">
        <f t="shared" si="113"/>
        <v>6412.3408397959211</v>
      </c>
      <c r="E224" s="6">
        <f t="shared" si="114"/>
        <v>0.84569495376112636</v>
      </c>
      <c r="F224" s="6">
        <f t="shared" si="115"/>
        <v>-0.39732903294201821</v>
      </c>
      <c r="H224" s="6">
        <f t="shared" si="116"/>
        <v>444.85860827044218</v>
      </c>
      <c r="I224" s="6">
        <f t="shared" si="117"/>
        <v>2014.2606952849003</v>
      </c>
      <c r="J224" s="6">
        <f t="shared" si="118"/>
        <v>96.186178306864477</v>
      </c>
      <c r="K224" s="6">
        <f t="shared" si="119"/>
        <v>78.82232884121764</v>
      </c>
      <c r="L224" s="6">
        <f t="shared" si="120"/>
        <v>139.37786315256349</v>
      </c>
      <c r="M224" s="6">
        <f t="shared" si="121"/>
        <v>1684.9063640310915</v>
      </c>
      <c r="O224" s="6">
        <f t="shared" si="122"/>
        <v>9.9779608634214201E-2</v>
      </c>
      <c r="P224" s="6">
        <f t="shared" si="123"/>
        <v>0.45178881587613295</v>
      </c>
      <c r="Q224" s="6">
        <f t="shared" si="124"/>
        <v>2.1574089045490918E-2</v>
      </c>
      <c r="R224" s="6">
        <f t="shared" si="125"/>
        <v>1.7679462591477513E-2</v>
      </c>
      <c r="S224" s="6">
        <f t="shared" si="126"/>
        <v>3.1261772570176607E-2</v>
      </c>
      <c r="T224" s="6">
        <f t="shared" si="127"/>
        <v>0.37791625128250789</v>
      </c>
      <c r="V224" s="6">
        <f t="shared" si="128"/>
        <v>17.461431510987484</v>
      </c>
      <c r="W224" s="6">
        <f t="shared" si="129"/>
        <v>79.063042778323265</v>
      </c>
      <c r="X224" s="6">
        <f t="shared" si="130"/>
        <v>3.7754655829609107</v>
      </c>
      <c r="Y224" s="6">
        <f t="shared" si="131"/>
        <v>3.0939059535085649</v>
      </c>
      <c r="Z224" s="6">
        <f t="shared" si="132"/>
        <v>5.4708101997809067</v>
      </c>
      <c r="AA224" s="6">
        <f t="shared" si="133"/>
        <v>66.135343974438882</v>
      </c>
      <c r="AC224" s="14">
        <f t="shared" si="134"/>
        <v>4.3870621249239754E-3</v>
      </c>
      <c r="AD224" s="17"/>
      <c r="AE224" s="15">
        <f t="shared" si="135"/>
        <v>-2.061153544549769E-3</v>
      </c>
    </row>
    <row r="225" spans="2:31" x14ac:dyDescent="0.2">
      <c r="B225" s="6">
        <f t="shared" si="111"/>
        <v>210</v>
      </c>
      <c r="C225" s="6">
        <f t="shared" si="112"/>
        <v>198.55333194969404</v>
      </c>
      <c r="D225" s="6">
        <f t="shared" si="113"/>
        <v>6605.1110649897992</v>
      </c>
      <c r="E225" s="6">
        <f t="shared" si="114"/>
        <v>0.8600618964872121</v>
      </c>
      <c r="F225" s="6">
        <f t="shared" si="115"/>
        <v>-0.40907939073797417</v>
      </c>
      <c r="H225" s="6">
        <f t="shared" si="116"/>
        <v>444.41024234962305</v>
      </c>
      <c r="I225" s="6">
        <f t="shared" si="117"/>
        <v>2012.120939456559</v>
      </c>
      <c r="J225" s="6">
        <f t="shared" si="118"/>
        <v>97.031873260625602</v>
      </c>
      <c r="K225" s="6">
        <f t="shared" si="119"/>
        <v>78.424999808275615</v>
      </c>
      <c r="L225" s="6">
        <f t="shared" si="120"/>
        <v>139.82622907338259</v>
      </c>
      <c r="M225" s="6">
        <f t="shared" si="121"/>
        <v>1684.9063640310915</v>
      </c>
      <c r="O225" s="6">
        <f t="shared" si="122"/>
        <v>9.9716871989967634E-2</v>
      </c>
      <c r="P225" s="6">
        <f t="shared" si="123"/>
        <v>0.45148015735936892</v>
      </c>
      <c r="Q225" s="6">
        <f t="shared" si="124"/>
        <v>2.1772033951604024E-2</v>
      </c>
      <c r="R225" s="6">
        <f t="shared" si="125"/>
        <v>1.7597019423649402E-2</v>
      </c>
      <c r="S225" s="6">
        <f t="shared" si="126"/>
        <v>3.1374241312785101E-2</v>
      </c>
      <c r="T225" s="6">
        <f t="shared" si="127"/>
        <v>0.37805967596262502</v>
      </c>
      <c r="V225" s="6">
        <f t="shared" si="128"/>
        <v>17.450452598244336</v>
      </c>
      <c r="W225" s="6">
        <f t="shared" si="129"/>
        <v>79.009027537889565</v>
      </c>
      <c r="X225" s="6">
        <f t="shared" si="130"/>
        <v>3.8101059415307041</v>
      </c>
      <c r="Y225" s="6">
        <f t="shared" si="131"/>
        <v>3.0794783991386452</v>
      </c>
      <c r="Z225" s="6">
        <f t="shared" si="132"/>
        <v>5.4904922297373924</v>
      </c>
      <c r="AA225" s="6">
        <f t="shared" si="133"/>
        <v>66.16044329345938</v>
      </c>
      <c r="AC225" s="14">
        <f t="shared" si="134"/>
        <v>4.3316417208506958E-3</v>
      </c>
      <c r="AD225" s="17"/>
      <c r="AE225" s="15">
        <f t="shared" si="135"/>
        <v>-2.0602998031864785E-3</v>
      </c>
    </row>
    <row r="226" spans="2:31" x14ac:dyDescent="0.2">
      <c r="B226" s="6">
        <f t="shared" si="111"/>
        <v>211</v>
      </c>
      <c r="C226" s="6">
        <f t="shared" si="112"/>
        <v>204.50993190818485</v>
      </c>
      <c r="D226" s="6">
        <f t="shared" si="113"/>
        <v>6803.6643969394936</v>
      </c>
      <c r="E226" s="6">
        <f t="shared" si="114"/>
        <v>0.87457207200422826</v>
      </c>
      <c r="F226" s="6">
        <f t="shared" si="115"/>
        <v>-0.42030281616137344</v>
      </c>
      <c r="H226" s="6">
        <f t="shared" si="116"/>
        <v>443.95925984387384</v>
      </c>
      <c r="I226" s="6">
        <f t="shared" si="117"/>
        <v>2009.9498331578354</v>
      </c>
      <c r="J226" s="6">
        <f t="shared" si="118"/>
        <v>97.891935157112812</v>
      </c>
      <c r="K226" s="6">
        <f t="shared" si="119"/>
        <v>78.015920417537643</v>
      </c>
      <c r="L226" s="6">
        <f t="shared" si="120"/>
        <v>140.27721157913183</v>
      </c>
      <c r="M226" s="6">
        <f t="shared" si="121"/>
        <v>1684.9063640310915</v>
      </c>
      <c r="O226" s="6">
        <f t="shared" si="122"/>
        <v>9.9654143121550867E-2</v>
      </c>
      <c r="P226" s="6">
        <f t="shared" si="123"/>
        <v>0.45116713729788449</v>
      </c>
      <c r="Q226" s="6">
        <f t="shared" si="124"/>
        <v>2.1973495766307777E-2</v>
      </c>
      <c r="R226" s="6">
        <f t="shared" si="125"/>
        <v>1.7511989054542747E-2</v>
      </c>
      <c r="S226" s="6">
        <f t="shared" si="126"/>
        <v>3.1487585875142936E-2</v>
      </c>
      <c r="T226" s="6">
        <f t="shared" si="127"/>
        <v>0.3782056488845712</v>
      </c>
      <c r="V226" s="6">
        <f t="shared" si="128"/>
        <v>17.439475046271401</v>
      </c>
      <c r="W226" s="6">
        <f t="shared" si="129"/>
        <v>78.954249027129791</v>
      </c>
      <c r="X226" s="6">
        <f t="shared" si="130"/>
        <v>3.8453617591038611</v>
      </c>
      <c r="Y226" s="6">
        <f t="shared" si="131"/>
        <v>3.0645980845449809</v>
      </c>
      <c r="Z226" s="6">
        <f t="shared" si="132"/>
        <v>5.5103275281500137</v>
      </c>
      <c r="AA226" s="6">
        <f t="shared" si="133"/>
        <v>66.185988554799962</v>
      </c>
      <c r="AC226" s="14">
        <f t="shared" si="134"/>
        <v>4.2764283565302303E-3</v>
      </c>
      <c r="AD226" s="17"/>
      <c r="AE226" s="15">
        <f t="shared" si="135"/>
        <v>-2.0551706816374533E-3</v>
      </c>
    </row>
    <row r="227" spans="2:31" x14ac:dyDescent="0.2">
      <c r="B227" s="6">
        <f t="shared" si="111"/>
        <v>212</v>
      </c>
      <c r="C227" s="6">
        <f t="shared" si="112"/>
        <v>210.64522986543039</v>
      </c>
      <c r="D227" s="6">
        <f t="shared" si="113"/>
        <v>7008.1743288476782</v>
      </c>
      <c r="E227" s="6">
        <f t="shared" si="114"/>
        <v>0.88920962140518733</v>
      </c>
      <c r="F227" s="6">
        <f t="shared" si="115"/>
        <v>-0.4310049240845486</v>
      </c>
      <c r="H227" s="6">
        <f t="shared" si="116"/>
        <v>443.50499058803098</v>
      </c>
      <c r="I227" s="6">
        <f t="shared" si="117"/>
        <v>2007.7464197579841</v>
      </c>
      <c r="J227" s="6">
        <f t="shared" si="118"/>
        <v>98.766507229117039</v>
      </c>
      <c r="K227" s="6">
        <f t="shared" si="119"/>
        <v>77.595617601376276</v>
      </c>
      <c r="L227" s="6">
        <f t="shared" si="120"/>
        <v>140.73148083497469</v>
      </c>
      <c r="M227" s="6">
        <f t="shared" si="121"/>
        <v>1684.9063640310915</v>
      </c>
      <c r="O227" s="6">
        <f t="shared" si="122"/>
        <v>9.9591276741217982E-2</v>
      </c>
      <c r="P227" s="6">
        <f t="shared" si="123"/>
        <v>0.45084955876413813</v>
      </c>
      <c r="Q227" s="6">
        <f t="shared" si="124"/>
        <v>2.2178516054975721E-2</v>
      </c>
      <c r="R227" s="6">
        <f t="shared" si="125"/>
        <v>1.7424486286384856E-2</v>
      </c>
      <c r="S227" s="6">
        <f t="shared" si="126"/>
        <v>3.1601961987968719E-2</v>
      </c>
      <c r="T227" s="6">
        <f t="shared" si="127"/>
        <v>0.37835420016531451</v>
      </c>
      <c r="V227" s="6">
        <f t="shared" si="128"/>
        <v>17.428473429713147</v>
      </c>
      <c r="W227" s="6">
        <f t="shared" si="129"/>
        <v>78.898672783724166</v>
      </c>
      <c r="X227" s="6">
        <f t="shared" si="130"/>
        <v>3.8812403096207513</v>
      </c>
      <c r="Y227" s="6">
        <f t="shared" si="131"/>
        <v>3.0492851001173498</v>
      </c>
      <c r="Z227" s="6">
        <f t="shared" si="132"/>
        <v>5.5303433478945259</v>
      </c>
      <c r="AA227" s="6">
        <f t="shared" si="133"/>
        <v>66.211985028930044</v>
      </c>
      <c r="AC227" s="14">
        <f t="shared" si="134"/>
        <v>4.2213613001028044E-3</v>
      </c>
      <c r="AD227" s="17"/>
      <c r="AE227" s="15">
        <f t="shared" si="135"/>
        <v>-2.0461176564971059E-3</v>
      </c>
    </row>
    <row r="228" spans="2:31" x14ac:dyDescent="0.2">
      <c r="B228" s="6">
        <f t="shared" si="111"/>
        <v>213</v>
      </c>
      <c r="C228" s="6">
        <f t="shared" si="112"/>
        <v>216.96458676139332</v>
      </c>
      <c r="D228" s="6">
        <f t="shared" si="113"/>
        <v>7218.8195587131086</v>
      </c>
      <c r="E228" s="6">
        <f t="shared" si="114"/>
        <v>0.90395809032344931</v>
      </c>
      <c r="F228" s="6">
        <f t="shared" si="115"/>
        <v>-0.44119324332399362</v>
      </c>
      <c r="H228" s="6">
        <f t="shared" si="116"/>
        <v>443.04678589071034</v>
      </c>
      <c r="I228" s="6">
        <f t="shared" si="117"/>
        <v>2005.509795817853</v>
      </c>
      <c r="J228" s="6">
        <f t="shared" si="118"/>
        <v>99.655716850522225</v>
      </c>
      <c r="K228" s="6">
        <f t="shared" si="119"/>
        <v>77.164612677291728</v>
      </c>
      <c r="L228" s="6">
        <f t="shared" si="120"/>
        <v>141.18968553229533</v>
      </c>
      <c r="M228" s="6">
        <f t="shared" si="121"/>
        <v>1684.9063640310915</v>
      </c>
      <c r="O228" s="6">
        <f t="shared" si="122"/>
        <v>9.9528131428009689E-2</v>
      </c>
      <c r="P228" s="6">
        <f t="shared" si="123"/>
        <v>0.45052723300323888</v>
      </c>
      <c r="Q228" s="6">
        <f t="shared" si="124"/>
        <v>2.2387132917149697E-2</v>
      </c>
      <c r="R228" s="6">
        <f t="shared" si="125"/>
        <v>1.7334624596580299E-2</v>
      </c>
      <c r="S228" s="6">
        <f t="shared" si="126"/>
        <v>3.1717520644431542E-2</v>
      </c>
      <c r="T228" s="6">
        <f t="shared" si="127"/>
        <v>0.37850535741058988</v>
      </c>
      <c r="V228" s="6">
        <f t="shared" si="128"/>
        <v>17.417422999901696</v>
      </c>
      <c r="W228" s="6">
        <f t="shared" si="129"/>
        <v>78.842265775566801</v>
      </c>
      <c r="X228" s="6">
        <f t="shared" si="130"/>
        <v>3.9177482605011971</v>
      </c>
      <c r="Y228" s="6">
        <f t="shared" si="131"/>
        <v>3.0335593044015523</v>
      </c>
      <c r="Z228" s="6">
        <f t="shared" si="132"/>
        <v>5.5505661127755195</v>
      </c>
      <c r="AA228" s="6">
        <f t="shared" si="133"/>
        <v>66.238437546853234</v>
      </c>
      <c r="AC228" s="14">
        <f t="shared" si="134"/>
        <v>4.1663854171629247E-3</v>
      </c>
      <c r="AD228" s="17"/>
      <c r="AE228" s="15">
        <f t="shared" si="135"/>
        <v>-2.0334804398710266E-3</v>
      </c>
    </row>
    <row r="229" spans="2:31" x14ac:dyDescent="0.2">
      <c r="B229" s="6">
        <f t="shared" si="111"/>
        <v>214</v>
      </c>
      <c r="C229" s="6">
        <f t="shared" si="112"/>
        <v>223.47352436423512</v>
      </c>
      <c r="D229" s="6">
        <f t="shared" si="113"/>
        <v>7435.7841454745021</v>
      </c>
      <c r="E229" s="6">
        <f t="shared" si="114"/>
        <v>0.91880049342052583</v>
      </c>
      <c r="F229" s="6">
        <f t="shared" si="115"/>
        <v>-0.45087699391800162</v>
      </c>
      <c r="H229" s="6">
        <f t="shared" si="116"/>
        <v>442.58402104371089</v>
      </c>
      <c r="I229" s="6">
        <f t="shared" si="117"/>
        <v>2003.2391147902067</v>
      </c>
      <c r="J229" s="6">
        <f t="shared" si="118"/>
        <v>100.55967494084567</v>
      </c>
      <c r="K229" s="6">
        <f t="shared" si="119"/>
        <v>76.723419433967734</v>
      </c>
      <c r="L229" s="6">
        <f t="shared" si="120"/>
        <v>141.65245037929478</v>
      </c>
      <c r="M229" s="6">
        <f t="shared" si="121"/>
        <v>1684.9063640310915</v>
      </c>
      <c r="O229" s="6">
        <f t="shared" si="122"/>
        <v>9.9464570165549451E-2</v>
      </c>
      <c r="P229" s="6">
        <f t="shared" si="123"/>
        <v>0.45019998015641205</v>
      </c>
      <c r="Q229" s="6">
        <f t="shared" si="124"/>
        <v>2.2599380837092512E-2</v>
      </c>
      <c r="R229" s="6">
        <f t="shared" si="125"/>
        <v>1.724251570952463E-2</v>
      </c>
      <c r="S229" s="6">
        <f t="shared" si="126"/>
        <v>3.183440752480729E-2</v>
      </c>
      <c r="T229" s="6">
        <f t="shared" si="127"/>
        <v>0.37865914560661412</v>
      </c>
      <c r="V229" s="6">
        <f t="shared" si="128"/>
        <v>17.406299778971153</v>
      </c>
      <c r="W229" s="6">
        <f t="shared" si="129"/>
        <v>78.784996527372115</v>
      </c>
      <c r="X229" s="6">
        <f t="shared" si="130"/>
        <v>3.9548916464911894</v>
      </c>
      <c r="Y229" s="6">
        <f t="shared" si="131"/>
        <v>3.0174402491668104</v>
      </c>
      <c r="Z229" s="6">
        <f t="shared" si="132"/>
        <v>5.5710213168412759</v>
      </c>
      <c r="AA229" s="6">
        <f t="shared" si="133"/>
        <v>66.265350481157469</v>
      </c>
      <c r="AC229" s="14">
        <f t="shared" si="134"/>
        <v>4.1114512156840153E-3</v>
      </c>
      <c r="AD229" s="17"/>
      <c r="AE229" s="15">
        <f t="shared" si="135"/>
        <v>-2.0175857305723879E-3</v>
      </c>
    </row>
    <row r="230" spans="2:31" x14ac:dyDescent="0.2">
      <c r="B230" s="6">
        <f t="shared" si="111"/>
        <v>215</v>
      </c>
      <c r="C230" s="6">
        <f t="shared" si="112"/>
        <v>230.17773009516219</v>
      </c>
      <c r="D230" s="6">
        <f t="shared" si="113"/>
        <v>7659.2576698387375</v>
      </c>
      <c r="E230" s="6">
        <f t="shared" si="114"/>
        <v>0.93371938128859666</v>
      </c>
      <c r="F230" s="6">
        <f t="shared" si="115"/>
        <v>-0.46006684988539859</v>
      </c>
      <c r="H230" s="6">
        <f t="shared" si="116"/>
        <v>442.1160975442084</v>
      </c>
      <c r="I230" s="6">
        <f t="shared" si="117"/>
        <v>2000.9335903038632</v>
      </c>
      <c r="J230" s="6">
        <f t="shared" si="118"/>
        <v>101.47847543426619</v>
      </c>
      <c r="K230" s="6">
        <f t="shared" si="119"/>
        <v>76.272542440049733</v>
      </c>
      <c r="L230" s="6">
        <f t="shared" si="120"/>
        <v>142.1203738787973</v>
      </c>
      <c r="M230" s="6">
        <f t="shared" si="121"/>
        <v>1684.9063640310915</v>
      </c>
      <c r="O230" s="6">
        <f t="shared" si="122"/>
        <v>9.9400460819846562E-2</v>
      </c>
      <c r="P230" s="6">
        <f t="shared" si="123"/>
        <v>0.44986762990738233</v>
      </c>
      <c r="Q230" s="6">
        <f t="shared" si="124"/>
        <v>2.2815290548096161E-2</v>
      </c>
      <c r="R230" s="6">
        <f t="shared" si="125"/>
        <v>1.7148269218322573E-2</v>
      </c>
      <c r="S230" s="6">
        <f t="shared" si="126"/>
        <v>3.1952762484584167E-2</v>
      </c>
      <c r="T230" s="6">
        <f t="shared" si="127"/>
        <v>0.37881558702176821</v>
      </c>
      <c r="V230" s="6">
        <f t="shared" si="128"/>
        <v>17.395080643473147</v>
      </c>
      <c r="W230" s="6">
        <f t="shared" si="129"/>
        <v>78.726835233791903</v>
      </c>
      <c r="X230" s="6">
        <f t="shared" si="130"/>
        <v>3.9926758459168283</v>
      </c>
      <c r="Y230" s="6">
        <f t="shared" si="131"/>
        <v>3.00094711320645</v>
      </c>
      <c r="Z230" s="6">
        <f t="shared" si="132"/>
        <v>5.5917334348022294</v>
      </c>
      <c r="AA230" s="6">
        <f t="shared" si="133"/>
        <v>66.292727728809439</v>
      </c>
      <c r="AC230" s="14">
        <f t="shared" si="134"/>
        <v>4.056514854423883E-3</v>
      </c>
      <c r="AD230" s="17"/>
      <c r="AE230" s="15">
        <f t="shared" si="135"/>
        <v>-1.9987461414933301E-3</v>
      </c>
    </row>
    <row r="231" spans="2:31" x14ac:dyDescent="0.2">
      <c r="B231" s="6">
        <f t="shared" si="111"/>
        <v>216</v>
      </c>
      <c r="C231" s="6">
        <f t="shared" si="112"/>
        <v>237.08306199801706</v>
      </c>
      <c r="D231" s="6">
        <f t="shared" si="113"/>
        <v>7889.4353999339</v>
      </c>
      <c r="E231" s="6">
        <f t="shared" si="114"/>
        <v>0.94869690878196655</v>
      </c>
      <c r="F231" s="6">
        <f t="shared" si="115"/>
        <v>-0.46877469216065054</v>
      </c>
      <c r="H231" s="6">
        <f t="shared" si="116"/>
        <v>441.64244501280518</v>
      </c>
      <c r="I231" s="6">
        <f t="shared" si="117"/>
        <v>1998.5924990098829</v>
      </c>
      <c r="J231" s="6">
        <f t="shared" si="118"/>
        <v>102.41219481555478</v>
      </c>
      <c r="K231" s="6">
        <f t="shared" si="119"/>
        <v>75.81247559016434</v>
      </c>
      <c r="L231" s="6">
        <f t="shared" si="120"/>
        <v>142.59402641020048</v>
      </c>
      <c r="M231" s="6">
        <f t="shared" si="121"/>
        <v>1684.9063640310915</v>
      </c>
      <c r="O231" s="6">
        <f t="shared" si="122"/>
        <v>9.9335676553336125E-2</v>
      </c>
      <c r="P231" s="6">
        <f t="shared" si="123"/>
        <v>0.44953002204716347</v>
      </c>
      <c r="Q231" s="6">
        <f t="shared" si="124"/>
        <v>2.3034888911142207E-2</v>
      </c>
      <c r="R231" s="6">
        <f t="shared" si="125"/>
        <v>1.7051992259742837E-2</v>
      </c>
      <c r="S231" s="6">
        <f t="shared" si="126"/>
        <v>3.2072719109937108E-2</v>
      </c>
      <c r="T231" s="6">
        <f t="shared" si="127"/>
        <v>0.3789747011186782</v>
      </c>
      <c r="V231" s="6">
        <f t="shared" si="128"/>
        <v>17.383743396833822</v>
      </c>
      <c r="W231" s="6">
        <f t="shared" si="129"/>
        <v>78.667753858253604</v>
      </c>
      <c r="X231" s="6">
        <f t="shared" si="130"/>
        <v>4.0311055594498866</v>
      </c>
      <c r="Y231" s="6">
        <f t="shared" si="131"/>
        <v>2.9840986454549965</v>
      </c>
      <c r="Z231" s="6">
        <f t="shared" si="132"/>
        <v>5.6127258442389936</v>
      </c>
      <c r="AA231" s="6">
        <f t="shared" si="133"/>
        <v>66.320572695768689</v>
      </c>
      <c r="AC231" s="14">
        <f t="shared" si="134"/>
        <v>4.0015381140551549E-3</v>
      </c>
      <c r="AD231" s="17"/>
      <c r="AE231" s="15">
        <f t="shared" si="135"/>
        <v>-1.9772593124538409E-3</v>
      </c>
    </row>
    <row r="232" spans="2:31" x14ac:dyDescent="0.2">
      <c r="B232" s="6">
        <f t="shared" si="111"/>
        <v>217</v>
      </c>
      <c r="C232" s="6">
        <f t="shared" si="112"/>
        <v>244.19555385795758</v>
      </c>
      <c r="D232" s="6">
        <f t="shared" si="113"/>
        <v>8126.518461931917</v>
      </c>
      <c r="E232" s="6">
        <f t="shared" si="114"/>
        <v>0.96371490378693092</v>
      </c>
      <c r="F232" s="6">
        <f t="shared" si="115"/>
        <v>-0.47701335661252831</v>
      </c>
      <c r="H232" s="6">
        <f t="shared" si="116"/>
        <v>441.16252279618385</v>
      </c>
      <c r="I232" s="6">
        <f t="shared" si="117"/>
        <v>1996.2151829756976</v>
      </c>
      <c r="J232" s="6">
        <f t="shared" si="118"/>
        <v>103.36089172433675</v>
      </c>
      <c r="K232" s="6">
        <f t="shared" si="119"/>
        <v>75.343700898003689</v>
      </c>
      <c r="L232" s="6">
        <f t="shared" si="120"/>
        <v>143.07394862682179</v>
      </c>
      <c r="M232" s="6">
        <f t="shared" si="121"/>
        <v>1684.9063640310915</v>
      </c>
      <c r="O232" s="6">
        <f t="shared" si="122"/>
        <v>9.9270096172596065E-2</v>
      </c>
      <c r="P232" s="6">
        <f t="shared" si="123"/>
        <v>0.44918700695422742</v>
      </c>
      <c r="Q232" s="6">
        <f t="shared" si="124"/>
        <v>2.3258198808289512E-2</v>
      </c>
      <c r="R232" s="6">
        <f t="shared" si="125"/>
        <v>1.6953789244694286E-2</v>
      </c>
      <c r="S232" s="6">
        <f t="shared" si="126"/>
        <v>3.2194404343225243E-2</v>
      </c>
      <c r="T232" s="6">
        <f t="shared" si="127"/>
        <v>0.37913650447696745</v>
      </c>
      <c r="V232" s="6">
        <f t="shared" si="128"/>
        <v>17.37226683020431</v>
      </c>
      <c r="W232" s="6">
        <f t="shared" si="129"/>
        <v>78.607726216989803</v>
      </c>
      <c r="X232" s="6">
        <f t="shared" si="130"/>
        <v>4.0701847914506644</v>
      </c>
      <c r="Y232" s="6">
        <f t="shared" si="131"/>
        <v>2.9669131178215</v>
      </c>
      <c r="Z232" s="6">
        <f t="shared" si="132"/>
        <v>5.6340207600644172</v>
      </c>
      <c r="AA232" s="6">
        <f t="shared" si="133"/>
        <v>66.348888283469307</v>
      </c>
      <c r="AC232" s="14">
        <f t="shared" si="134"/>
        <v>3.9464883310180972E-3</v>
      </c>
      <c r="AD232" s="17"/>
      <c r="AE232" s="15">
        <f t="shared" si="135"/>
        <v>-1.9534072143262485E-3</v>
      </c>
    </row>
    <row r="233" spans="2:31" x14ac:dyDescent="0.2">
      <c r="B233" s="6">
        <f t="shared" si="111"/>
        <v>218</v>
      </c>
      <c r="C233" s="6">
        <f t="shared" si="112"/>
        <v>251.52142047369631</v>
      </c>
      <c r="D233" s="6">
        <f t="shared" si="113"/>
        <v>8370.7140157898739</v>
      </c>
      <c r="E233" s="6">
        <f t="shared" si="114"/>
        <v>0.97875493546381931</v>
      </c>
      <c r="F233" s="6">
        <f t="shared" si="115"/>
        <v>-0.48479638213487919</v>
      </c>
      <c r="H233" s="6">
        <f t="shared" si="116"/>
        <v>440.67582124900946</v>
      </c>
      <c r="I233" s="6">
        <f t="shared" si="117"/>
        <v>1993.8010516209495</v>
      </c>
      <c r="J233" s="6">
        <f t="shared" si="118"/>
        <v>104.32460662812369</v>
      </c>
      <c r="K233" s="6">
        <f t="shared" si="119"/>
        <v>74.866687541391158</v>
      </c>
      <c r="L233" s="6">
        <f t="shared" si="120"/>
        <v>143.56065017399618</v>
      </c>
      <c r="M233" s="6">
        <f t="shared" si="121"/>
        <v>1684.9063640310915</v>
      </c>
      <c r="O233" s="6">
        <f t="shared" si="122"/>
        <v>9.9203604408442281E-2</v>
      </c>
      <c r="P233" s="6">
        <f t="shared" si="123"/>
        <v>0.44883844598856687</v>
      </c>
      <c r="Q233" s="6">
        <f t="shared" si="124"/>
        <v>2.348523905094101E-2</v>
      </c>
      <c r="R233" s="6">
        <f t="shared" si="125"/>
        <v>1.6853761645411167E-2</v>
      </c>
      <c r="S233" s="6">
        <f t="shared" si="126"/>
        <v>3.231793817984948E-2</v>
      </c>
      <c r="T233" s="6">
        <f t="shared" si="127"/>
        <v>0.37930101072678934</v>
      </c>
      <c r="V233" s="6">
        <f t="shared" si="128"/>
        <v>17.3606307714774</v>
      </c>
      <c r="W233" s="6">
        <f t="shared" si="129"/>
        <v>78.546728047999196</v>
      </c>
      <c r="X233" s="6">
        <f t="shared" si="130"/>
        <v>4.109916833914677</v>
      </c>
      <c r="Y233" s="6">
        <f t="shared" si="131"/>
        <v>2.9494082879469543</v>
      </c>
      <c r="Z233" s="6">
        <f t="shared" si="132"/>
        <v>5.6556391814736591</v>
      </c>
      <c r="AA233" s="6">
        <f t="shared" si="133"/>
        <v>66.377676877188136</v>
      </c>
      <c r="AC233" s="14">
        <f t="shared" si="134"/>
        <v>3.8913382948478374E-3</v>
      </c>
      <c r="AD233" s="17"/>
      <c r="AE233" s="15">
        <f t="shared" si="135"/>
        <v>-1.9274556466079532E-3</v>
      </c>
    </row>
    <row r="234" spans="2:31" x14ac:dyDescent="0.2">
      <c r="B234" s="6">
        <f t="shared" si="111"/>
        <v>219</v>
      </c>
      <c r="C234" s="6">
        <f t="shared" si="112"/>
        <v>259.06706308790723</v>
      </c>
      <c r="D234" s="6">
        <f t="shared" si="113"/>
        <v>8622.2354362635706</v>
      </c>
      <c r="E234" s="6">
        <f t="shared" si="114"/>
        <v>0.99379838104759666</v>
      </c>
      <c r="F234" s="6">
        <f t="shared" si="115"/>
        <v>-0.49213776374276408</v>
      </c>
      <c r="H234" s="6">
        <f t="shared" si="116"/>
        <v>440.18186269568054</v>
      </c>
      <c r="I234" s="6">
        <f t="shared" si="117"/>
        <v>1991.3495831966929</v>
      </c>
      <c r="J234" s="6">
        <f t="shared" si="118"/>
        <v>105.30336156358752</v>
      </c>
      <c r="K234" s="6">
        <f t="shared" si="119"/>
        <v>74.381891159256284</v>
      </c>
      <c r="L234" s="6">
        <f t="shared" si="120"/>
        <v>144.05460872732513</v>
      </c>
      <c r="M234" s="6">
        <f t="shared" si="121"/>
        <v>1684.9063640310915</v>
      </c>
      <c r="O234" s="6">
        <f t="shared" si="122"/>
        <v>9.9136092128381828E-2</v>
      </c>
      <c r="P234" s="6">
        <f t="shared" si="123"/>
        <v>0.44848421179971376</v>
      </c>
      <c r="Q234" s="6">
        <f t="shared" si="124"/>
        <v>2.3716024302921728E-2</v>
      </c>
      <c r="R234" s="6">
        <f t="shared" si="125"/>
        <v>1.6752007839417188E-2</v>
      </c>
      <c r="S234" s="6">
        <f t="shared" si="126"/>
        <v>3.2443433436473212E-2</v>
      </c>
      <c r="T234" s="6">
        <f t="shared" si="127"/>
        <v>0.37946823049309214</v>
      </c>
      <c r="V234" s="6">
        <f t="shared" si="128"/>
        <v>17.348816122466818</v>
      </c>
      <c r="W234" s="6">
        <f t="shared" si="129"/>
        <v>78.484737064949911</v>
      </c>
      <c r="X234" s="6">
        <f t="shared" si="130"/>
        <v>4.1503042530113028</v>
      </c>
      <c r="Y234" s="6">
        <f t="shared" si="131"/>
        <v>2.9316013718980081</v>
      </c>
      <c r="Z234" s="6">
        <f t="shared" si="132"/>
        <v>5.6776008513828122</v>
      </c>
      <c r="AA234" s="6">
        <f t="shared" si="133"/>
        <v>66.406940336291129</v>
      </c>
      <c r="AC234" s="14">
        <f t="shared" si="134"/>
        <v>3.8360661104587376E-3</v>
      </c>
      <c r="AD234" s="17"/>
      <c r="AE234" s="15">
        <f t="shared" si="135"/>
        <v>-1.8996539269670524E-3</v>
      </c>
    </row>
    <row r="235" spans="2:31" x14ac:dyDescent="0.2">
      <c r="B235" s="6">
        <f t="shared" si="111"/>
        <v>220</v>
      </c>
      <c r="C235" s="6">
        <f t="shared" si="112"/>
        <v>266.83907498054447</v>
      </c>
      <c r="D235" s="6">
        <f t="shared" si="113"/>
        <v>8881.3024993514773</v>
      </c>
      <c r="E235" s="6">
        <f t="shared" si="114"/>
        <v>1.0088264903724276</v>
      </c>
      <c r="F235" s="6">
        <f t="shared" si="115"/>
        <v>-0.49905171541449195</v>
      </c>
      <c r="H235" s="6">
        <f t="shared" si="116"/>
        <v>439.68020207837571</v>
      </c>
      <c r="I235" s="6">
        <f t="shared" si="117"/>
        <v>1988.8603258172927</v>
      </c>
      <c r="J235" s="6">
        <f t="shared" si="118"/>
        <v>106.29715994463511</v>
      </c>
      <c r="K235" s="6">
        <f t="shared" si="119"/>
        <v>73.889753395513523</v>
      </c>
      <c r="L235" s="6">
        <f t="shared" si="120"/>
        <v>144.55626934462995</v>
      </c>
      <c r="M235" s="6">
        <f t="shared" si="121"/>
        <v>1684.9063640310915</v>
      </c>
      <c r="O235" s="6">
        <f t="shared" si="122"/>
        <v>9.9067456482665309E-2</v>
      </c>
      <c r="P235" s="6">
        <f t="shared" si="123"/>
        <v>0.44812418855030034</v>
      </c>
      <c r="Q235" s="6">
        <f t="shared" si="124"/>
        <v>2.3950565018092194E-2</v>
      </c>
      <c r="R235" s="6">
        <f t="shared" si="125"/>
        <v>1.664862300922992E-2</v>
      </c>
      <c r="S235" s="6">
        <f t="shared" si="126"/>
        <v>3.2570995589296055E-2</v>
      </c>
      <c r="T235" s="6">
        <f t="shared" si="127"/>
        <v>0.37963817135041611</v>
      </c>
      <c r="V235" s="6">
        <f t="shared" si="128"/>
        <v>17.336804884466428</v>
      </c>
      <c r="W235" s="6">
        <f t="shared" si="129"/>
        <v>78.421732996302566</v>
      </c>
      <c r="X235" s="6">
        <f t="shared" si="130"/>
        <v>4.1913488781661341</v>
      </c>
      <c r="Y235" s="6">
        <f t="shared" si="131"/>
        <v>2.9135090266152361</v>
      </c>
      <c r="Z235" s="6">
        <f t="shared" si="132"/>
        <v>5.6999242281268092</v>
      </c>
      <c r="AA235" s="6">
        <f t="shared" si="133"/>
        <v>66.436679986322815</v>
      </c>
      <c r="AC235" s="14">
        <f t="shared" si="134"/>
        <v>3.7806550275516515E-3</v>
      </c>
      <c r="AD235" s="17"/>
      <c r="AE235" s="15">
        <f t="shared" si="135"/>
        <v>-1.8702347677186273E-3</v>
      </c>
    </row>
    <row r="236" spans="2:31" x14ac:dyDescent="0.2">
      <c r="B236" s="6">
        <f t="shared" si="111"/>
        <v>221</v>
      </c>
      <c r="C236" s="6">
        <f t="shared" si="112"/>
        <v>274.84424722996079</v>
      </c>
      <c r="D236" s="6">
        <f t="shared" si="113"/>
        <v>9148.1415743320213</v>
      </c>
      <c r="E236" s="6">
        <f t="shared" si="114"/>
        <v>1.0238204473877575</v>
      </c>
      <c r="F236" s="6">
        <f t="shared" si="115"/>
        <v>-0.50555244709452563</v>
      </c>
      <c r="H236" s="6">
        <f t="shared" si="116"/>
        <v>439.1704273034178</v>
      </c>
      <c r="I236" s="6">
        <f t="shared" si="117"/>
        <v>1986.33289806159</v>
      </c>
      <c r="J236" s="6">
        <f t="shared" si="118"/>
        <v>107.30598643500754</v>
      </c>
      <c r="K236" s="6">
        <f t="shared" si="119"/>
        <v>73.390701680099028</v>
      </c>
      <c r="L236" s="6">
        <f t="shared" si="120"/>
        <v>145.0660441195879</v>
      </c>
      <c r="M236" s="6">
        <f t="shared" si="121"/>
        <v>1684.9063640310915</v>
      </c>
      <c r="O236" s="6">
        <f t="shared" si="122"/>
        <v>9.8997600986386616E-2</v>
      </c>
      <c r="P236" s="6">
        <f t="shared" si="123"/>
        <v>0.44775827205818763</v>
      </c>
      <c r="Q236" s="6">
        <f t="shared" si="124"/>
        <v>2.4188867392029925E-2</v>
      </c>
      <c r="R236" s="6">
        <f t="shared" si="125"/>
        <v>1.6543699095699183E-2</v>
      </c>
      <c r="S236" s="6">
        <f t="shared" si="126"/>
        <v>3.2700722679814088E-2</v>
      </c>
      <c r="T236" s="6">
        <f t="shared" si="127"/>
        <v>0.37981083778788255</v>
      </c>
      <c r="V236" s="6">
        <f t="shared" si="128"/>
        <v>17.324580172617658</v>
      </c>
      <c r="W236" s="6">
        <f t="shared" si="129"/>
        <v>78.357697610182839</v>
      </c>
      <c r="X236" s="6">
        <f t="shared" si="130"/>
        <v>4.2330517936052372</v>
      </c>
      <c r="Y236" s="6">
        <f t="shared" si="131"/>
        <v>2.8951473417473572</v>
      </c>
      <c r="Z236" s="6">
        <f t="shared" si="132"/>
        <v>5.7226264689674657</v>
      </c>
      <c r="AA236" s="6">
        <f t="shared" si="133"/>
        <v>66.466896612879452</v>
      </c>
      <c r="AC236" s="14">
        <f t="shared" si="134"/>
        <v>3.7250932399219257E-3</v>
      </c>
      <c r="AD236" s="17"/>
      <c r="AE236" s="15">
        <f t="shared" si="135"/>
        <v>-1.8394143308065403E-3</v>
      </c>
    </row>
    <row r="237" spans="2:31" x14ac:dyDescent="0.2">
      <c r="B237" s="6">
        <f t="shared" si="111"/>
        <v>222</v>
      </c>
      <c r="C237" s="6">
        <f t="shared" si="112"/>
        <v>283.0895746468596</v>
      </c>
      <c r="D237" s="6">
        <f t="shared" si="113"/>
        <v>9422.9858215619824</v>
      </c>
      <c r="E237" s="6">
        <f t="shared" si="114"/>
        <v>1.0387614280546489</v>
      </c>
      <c r="F237" s="6">
        <f t="shared" si="115"/>
        <v>-0.5116539598229517</v>
      </c>
      <c r="H237" s="6">
        <f t="shared" si="116"/>
        <v>438.65215930312456</v>
      </c>
      <c r="I237" s="6">
        <f t="shared" si="117"/>
        <v>1983.7669891665212</v>
      </c>
      <c r="J237" s="6">
        <f t="shared" si="118"/>
        <v>108.3298068823953</v>
      </c>
      <c r="K237" s="6">
        <f t="shared" si="119"/>
        <v>72.885149233004498</v>
      </c>
      <c r="L237" s="6">
        <f t="shared" si="120"/>
        <v>145.58431211988113</v>
      </c>
      <c r="M237" s="6">
        <f t="shared" si="121"/>
        <v>1684.9063640310915</v>
      </c>
      <c r="O237" s="6">
        <f t="shared" si="122"/>
        <v>9.8926435541201202E-2</v>
      </c>
      <c r="P237" s="6">
        <f t="shared" si="123"/>
        <v>0.44738636986152586</v>
      </c>
      <c r="Q237" s="6">
        <f t="shared" si="124"/>
        <v>2.4430933327143245E-2</v>
      </c>
      <c r="R237" s="6">
        <f t="shared" si="125"/>
        <v>1.6437324801875857E-2</v>
      </c>
      <c r="S237" s="6">
        <f t="shared" si="126"/>
        <v>3.2832705284337009E-2</v>
      </c>
      <c r="T237" s="6">
        <f t="shared" si="127"/>
        <v>0.37998623118391694</v>
      </c>
      <c r="V237" s="6">
        <f t="shared" si="128"/>
        <v>17.312126219710212</v>
      </c>
      <c r="W237" s="6">
        <f t="shared" si="129"/>
        <v>78.292614725767024</v>
      </c>
      <c r="X237" s="6">
        <f t="shared" si="130"/>
        <v>4.2754133322500678</v>
      </c>
      <c r="Y237" s="6">
        <f t="shared" si="131"/>
        <v>2.8765318403282749</v>
      </c>
      <c r="Z237" s="6">
        <f t="shared" si="132"/>
        <v>5.7457234247589763</v>
      </c>
      <c r="AA237" s="6">
        <f t="shared" si="133"/>
        <v>66.497590457185467</v>
      </c>
      <c r="AC237" s="14">
        <f t="shared" si="134"/>
        <v>3.6693736579683409E-3</v>
      </c>
      <c r="AD237" s="17"/>
      <c r="AE237" s="15">
        <f t="shared" si="135"/>
        <v>-1.8073924497615816E-3</v>
      </c>
    </row>
    <row r="238" spans="2:31" x14ac:dyDescent="0.2">
      <c r="B238" s="6">
        <f t="shared" si="111"/>
        <v>223</v>
      </c>
      <c r="C238" s="6">
        <f t="shared" si="112"/>
        <v>291.58226188626537</v>
      </c>
      <c r="D238" s="6">
        <f t="shared" si="113"/>
        <v>9706.075396208842</v>
      </c>
      <c r="E238" s="6">
        <f t="shared" si="114"/>
        <v>1.053630654146142</v>
      </c>
      <c r="F238" s="6">
        <f t="shared" si="115"/>
        <v>-0.51736986239884419</v>
      </c>
      <c r="H238" s="6">
        <f t="shared" si="116"/>
        <v>438.12505183489287</v>
      </c>
      <c r="I238" s="6">
        <f t="shared" si="117"/>
        <v>1981.1623588421803</v>
      </c>
      <c r="J238" s="6">
        <f t="shared" si="118"/>
        <v>109.36856831044996</v>
      </c>
      <c r="K238" s="6">
        <f t="shared" si="119"/>
        <v>72.373495273181547</v>
      </c>
      <c r="L238" s="6">
        <f t="shared" si="120"/>
        <v>146.11141958811282</v>
      </c>
      <c r="M238" s="6">
        <f t="shared" si="121"/>
        <v>1684.9063640310915</v>
      </c>
      <c r="O238" s="6">
        <f t="shared" si="122"/>
        <v>9.8853876401234969E-2</v>
      </c>
      <c r="P238" s="6">
        <f t="shared" si="123"/>
        <v>0.4470084012122828</v>
      </c>
      <c r="Q238" s="6">
        <f t="shared" si="124"/>
        <v>2.4676760410439969E-2</v>
      </c>
      <c r="R238" s="6">
        <f t="shared" si="125"/>
        <v>1.6329585643407998E-2</v>
      </c>
      <c r="S238" s="6">
        <f t="shared" si="126"/>
        <v>3.2967026542493574E-2</v>
      </c>
      <c r="T238" s="6">
        <f t="shared" si="127"/>
        <v>0.38016434979014063</v>
      </c>
      <c r="V238" s="6">
        <f t="shared" si="128"/>
        <v>17.29942837021612</v>
      </c>
      <c r="W238" s="6">
        <f t="shared" si="129"/>
        <v>78.226470212149493</v>
      </c>
      <c r="X238" s="6">
        <f t="shared" si="130"/>
        <v>4.3184330718269948</v>
      </c>
      <c r="Y238" s="6">
        <f t="shared" si="131"/>
        <v>2.8576774875963995</v>
      </c>
      <c r="Z238" s="6">
        <f t="shared" si="132"/>
        <v>5.7692296449363756</v>
      </c>
      <c r="AA238" s="6">
        <f t="shared" si="133"/>
        <v>66.528761213274606</v>
      </c>
      <c r="AC238" s="14">
        <f t="shared" si="134"/>
        <v>3.6134936581194411E-3</v>
      </c>
      <c r="AD238" s="17"/>
      <c r="AE238" s="15">
        <f t="shared" si="135"/>
        <v>-1.7743530043698252E-3</v>
      </c>
    </row>
    <row r="239" spans="2:31" x14ac:dyDescent="0.2">
      <c r="B239" s="6">
        <f t="shared" si="111"/>
        <v>224</v>
      </c>
      <c r="C239" s="6">
        <f t="shared" si="112"/>
        <v>300.32972974285332</v>
      </c>
      <c r="D239" s="6">
        <f t="shared" si="113"/>
        <v>9997.6576580951078</v>
      </c>
      <c r="E239" s="6">
        <f t="shared" si="114"/>
        <v>1.0684094426187702</v>
      </c>
      <c r="F239" s="6">
        <f t="shared" si="115"/>
        <v>-0.52271321233588741</v>
      </c>
      <c r="H239" s="6">
        <f t="shared" si="116"/>
        <v>437.58879104314553</v>
      </c>
      <c r="I239" s="6">
        <f t="shared" si="117"/>
        <v>1978.5188367421408</v>
      </c>
      <c r="J239" s="6">
        <f t="shared" si="118"/>
        <v>110.42219896459611</v>
      </c>
      <c r="K239" s="6">
        <f t="shared" si="119"/>
        <v>71.85612541078271</v>
      </c>
      <c r="L239" s="6">
        <f t="shared" si="120"/>
        <v>146.64768037986011</v>
      </c>
      <c r="M239" s="6">
        <f t="shared" si="121"/>
        <v>1684.9063640310915</v>
      </c>
      <c r="O239" s="6">
        <f t="shared" si="122"/>
        <v>9.8779846088615356E-2</v>
      </c>
      <c r="P239" s="6">
        <f t="shared" si="123"/>
        <v>0.44662429700477663</v>
      </c>
      <c r="Q239" s="6">
        <f t="shared" si="124"/>
        <v>2.4926341903062605E-2</v>
      </c>
      <c r="R239" s="6">
        <f t="shared" si="125"/>
        <v>1.6220564040685205E-2</v>
      </c>
      <c r="S239" s="6">
        <f t="shared" si="126"/>
        <v>3.3103762239071521E-2</v>
      </c>
      <c r="T239" s="6">
        <f t="shared" si="127"/>
        <v>0.3803451887237887</v>
      </c>
      <c r="V239" s="6">
        <f t="shared" si="128"/>
        <v>17.286473065507685</v>
      </c>
      <c r="W239" s="6">
        <f t="shared" si="129"/>
        <v>78.159251975835915</v>
      </c>
      <c r="X239" s="6">
        <f t="shared" si="130"/>
        <v>4.362109833035956</v>
      </c>
      <c r="Y239" s="6">
        <f t="shared" si="131"/>
        <v>2.8385987071199108</v>
      </c>
      <c r="Z239" s="6">
        <f t="shared" si="132"/>
        <v>5.7931583918375162</v>
      </c>
      <c r="AA239" s="6">
        <f t="shared" si="133"/>
        <v>66.560408026663026</v>
      </c>
      <c r="AC239" s="14">
        <f t="shared" si="134"/>
        <v>3.5574548131933458E-3</v>
      </c>
      <c r="AD239" s="17"/>
      <c r="AE239" s="15">
        <f t="shared" si="135"/>
        <v>-1.7404644314881583E-3</v>
      </c>
    </row>
    <row r="240" spans="2:31" x14ac:dyDescent="0.2">
      <c r="B240" s="6">
        <f t="shared" si="111"/>
        <v>225</v>
      </c>
      <c r="C240" s="6">
        <f t="shared" si="112"/>
        <v>309.33962163513894</v>
      </c>
      <c r="D240" s="6">
        <f t="shared" si="113"/>
        <v>10297.98738783796</v>
      </c>
      <c r="E240" s="6">
        <f t="shared" si="114"/>
        <v>1.0830792503680065</v>
      </c>
      <c r="F240" s="6">
        <f t="shared" si="115"/>
        <v>-0.52769638315193113</v>
      </c>
      <c r="H240" s="6">
        <f t="shared" si="116"/>
        <v>437.04309481286265</v>
      </c>
      <c r="I240" s="6">
        <f t="shared" si="117"/>
        <v>1975.8363216266205</v>
      </c>
      <c r="J240" s="6">
        <f t="shared" si="118"/>
        <v>111.49060840721488</v>
      </c>
      <c r="K240" s="6">
        <f t="shared" si="119"/>
        <v>71.333412198446823</v>
      </c>
      <c r="L240" s="6">
        <f t="shared" si="120"/>
        <v>147.19337661014296</v>
      </c>
      <c r="M240" s="6">
        <f t="shared" si="121"/>
        <v>1684.9063640310915</v>
      </c>
      <c r="O240" s="6">
        <f t="shared" si="122"/>
        <v>9.8704273264745013E-2</v>
      </c>
      <c r="P240" s="6">
        <f t="shared" si="123"/>
        <v>0.44623399964653282</v>
      </c>
      <c r="Q240" s="6">
        <f t="shared" si="124"/>
        <v>2.5179666740623073E-2</v>
      </c>
      <c r="R240" s="6">
        <f t="shared" si="125"/>
        <v>1.6110339447319346E-2</v>
      </c>
      <c r="S240" s="6">
        <f t="shared" si="126"/>
        <v>3.3242980932827869E-2</v>
      </c>
      <c r="T240" s="6">
        <f t="shared" si="127"/>
        <v>0.38052873996795195</v>
      </c>
      <c r="V240" s="6">
        <f t="shared" si="128"/>
        <v>17.273247821330376</v>
      </c>
      <c r="W240" s="6">
        <f t="shared" si="129"/>
        <v>78.09094993814324</v>
      </c>
      <c r="X240" s="6">
        <f t="shared" si="130"/>
        <v>4.4064416796090375</v>
      </c>
      <c r="Y240" s="6">
        <f t="shared" si="131"/>
        <v>2.8193094032808856</v>
      </c>
      <c r="Z240" s="6">
        <f t="shared" si="132"/>
        <v>5.817521663244877</v>
      </c>
      <c r="AA240" s="6">
        <f t="shared" si="133"/>
        <v>66.592529494391584</v>
      </c>
      <c r="AC240" s="14">
        <f t="shared" si="134"/>
        <v>3.5012626078837093E-3</v>
      </c>
      <c r="AD240" s="17"/>
      <c r="AE240" s="15">
        <f t="shared" si="135"/>
        <v>-1.705880353646842E-3</v>
      </c>
    </row>
    <row r="241" spans="2:31" x14ac:dyDescent="0.2">
      <c r="B241" s="6">
        <f t="shared" si="111"/>
        <v>226</v>
      </c>
      <c r="C241" s="6">
        <f t="shared" si="112"/>
        <v>318.61981028419314</v>
      </c>
      <c r="D241" s="6">
        <f t="shared" si="113"/>
        <v>10607.3270094731</v>
      </c>
      <c r="E241" s="6">
        <f t="shared" si="114"/>
        <v>1.0976217143224927</v>
      </c>
      <c r="F241" s="6">
        <f t="shared" si="115"/>
        <v>-0.53233095927427465</v>
      </c>
      <c r="H241" s="6">
        <f t="shared" si="116"/>
        <v>436.48771194564654</v>
      </c>
      <c r="I241" s="6">
        <f t="shared" si="117"/>
        <v>1973.1147802586686</v>
      </c>
      <c r="J241" s="6">
        <f t="shared" si="118"/>
        <v>112.57368765758288</v>
      </c>
      <c r="K241" s="6">
        <f t="shared" si="119"/>
        <v>70.805715815294889</v>
      </c>
      <c r="L241" s="6">
        <f t="shared" si="120"/>
        <v>147.74875947735904</v>
      </c>
      <c r="M241" s="6">
        <f t="shared" si="121"/>
        <v>1684.9063640310915</v>
      </c>
      <c r="O241" s="6">
        <f t="shared" si="122"/>
        <v>9.8627092563945543E-2</v>
      </c>
      <c r="P241" s="6">
        <f t="shared" si="123"/>
        <v>0.44583746287935266</v>
      </c>
      <c r="Q241" s="6">
        <f t="shared" si="124"/>
        <v>2.5436719543325183E-2</v>
      </c>
      <c r="R241" s="6">
        <f t="shared" si="125"/>
        <v>1.5998988509076544E-2</v>
      </c>
      <c r="S241" s="6">
        <f t="shared" si="126"/>
        <v>3.3384744125388326E-2</v>
      </c>
      <c r="T241" s="6">
        <f t="shared" si="127"/>
        <v>0.3807149923789116</v>
      </c>
      <c r="V241" s="6">
        <f t="shared" si="128"/>
        <v>17.25974119869047</v>
      </c>
      <c r="W241" s="6">
        <f t="shared" si="129"/>
        <v>78.021556003886715</v>
      </c>
      <c r="X241" s="6">
        <f t="shared" si="130"/>
        <v>4.4514259200819071</v>
      </c>
      <c r="Y241" s="6">
        <f t="shared" si="131"/>
        <v>2.799822989088395</v>
      </c>
      <c r="Z241" s="6">
        <f t="shared" si="132"/>
        <v>5.8423302219429569</v>
      </c>
      <c r="AA241" s="6">
        <f t="shared" si="133"/>
        <v>66.625123666309534</v>
      </c>
      <c r="AC241" s="14">
        <f t="shared" si="134"/>
        <v>3.4449261436175871E-3</v>
      </c>
      <c r="AD241" s="17"/>
      <c r="AE241" s="15">
        <f t="shared" si="135"/>
        <v>-1.67074030581922E-3</v>
      </c>
    </row>
    <row r="242" spans="2:31" x14ac:dyDescent="0.2">
      <c r="B242" s="6">
        <f t="shared" si="111"/>
        <v>227</v>
      </c>
      <c r="C242" s="6">
        <f t="shared" si="112"/>
        <v>328.17840459271895</v>
      </c>
      <c r="D242" s="6">
        <f t="shared" si="113"/>
        <v>10925.946819757293</v>
      </c>
      <c r="E242" s="6">
        <f t="shared" si="114"/>
        <v>1.1120186869647417</v>
      </c>
      <c r="F242" s="6">
        <f t="shared" si="115"/>
        <v>-0.53662765906696086</v>
      </c>
      <c r="H242" s="6">
        <f t="shared" si="116"/>
        <v>435.9224211905983</v>
      </c>
      <c r="I242" s="6">
        <f t="shared" si="117"/>
        <v>1970.3542460749754</v>
      </c>
      <c r="J242" s="6">
        <f t="shared" si="118"/>
        <v>113.67130937190537</v>
      </c>
      <c r="K242" s="6">
        <f t="shared" si="119"/>
        <v>70.273384856020613</v>
      </c>
      <c r="L242" s="6">
        <f t="shared" si="120"/>
        <v>148.31405023240725</v>
      </c>
      <c r="M242" s="6">
        <f t="shared" si="121"/>
        <v>1684.9063640310915</v>
      </c>
      <c r="O242" s="6">
        <f t="shared" si="122"/>
        <v>9.8548244396411744E-2</v>
      </c>
      <c r="P242" s="6">
        <f t="shared" si="123"/>
        <v>0.44543465155880385</v>
      </c>
      <c r="Q242" s="6">
        <f t="shared" si="124"/>
        <v>2.5697480634850764E-2</v>
      </c>
      <c r="R242" s="6">
        <f t="shared" si="125"/>
        <v>1.5886585247071434E-2</v>
      </c>
      <c r="S242" s="6">
        <f t="shared" si="126"/>
        <v>3.3529106463038222E-2</v>
      </c>
      <c r="T242" s="6">
        <f t="shared" si="127"/>
        <v>0.38090393169982384</v>
      </c>
      <c r="V242" s="6">
        <f t="shared" si="128"/>
        <v>17.245942769372054</v>
      </c>
      <c r="W242" s="6">
        <f t="shared" si="129"/>
        <v>77.951064022790675</v>
      </c>
      <c r="X242" s="6">
        <f t="shared" si="130"/>
        <v>4.497059111098884</v>
      </c>
      <c r="Y242" s="6">
        <f t="shared" si="131"/>
        <v>2.7801524182375008</v>
      </c>
      <c r="Z242" s="6">
        <f t="shared" si="132"/>
        <v>5.8675936310316885</v>
      </c>
      <c r="AA242" s="6">
        <f t="shared" si="133"/>
        <v>66.658188047469167</v>
      </c>
      <c r="AC242" s="14">
        <f t="shared" si="134"/>
        <v>3.3884578369646119E-3</v>
      </c>
      <c r="AD242" s="17"/>
      <c r="AE242" s="15">
        <f t="shared" si="135"/>
        <v>-1.6351705400388392E-3</v>
      </c>
    </row>
    <row r="243" spans="2:31" x14ac:dyDescent="0.2">
      <c r="B243" s="6">
        <f t="shared" si="111"/>
        <v>228</v>
      </c>
      <c r="C243" s="6">
        <f t="shared" si="112"/>
        <v>338.02375673050051</v>
      </c>
      <c r="D243" s="6">
        <f t="shared" si="113"/>
        <v>11254.125224350013</v>
      </c>
      <c r="E243" s="6">
        <f t="shared" si="114"/>
        <v>1.1262522674845978</v>
      </c>
      <c r="F243" s="6">
        <f t="shared" si="115"/>
        <v>-0.54059628572224361</v>
      </c>
      <c r="H243" s="6">
        <f t="shared" si="116"/>
        <v>435.34703016270049</v>
      </c>
      <c r="I243" s="6">
        <f t="shared" si="117"/>
        <v>1967.5548176731481</v>
      </c>
      <c r="J243" s="6">
        <f t="shared" si="118"/>
        <v>114.78332805887011</v>
      </c>
      <c r="K243" s="6">
        <f t="shared" si="119"/>
        <v>69.736757196953647</v>
      </c>
      <c r="L243" s="6">
        <f t="shared" si="120"/>
        <v>148.88944126030503</v>
      </c>
      <c r="M243" s="6">
        <f t="shared" si="121"/>
        <v>1684.9063640310915</v>
      </c>
      <c r="O243" s="6">
        <f t="shared" si="122"/>
        <v>9.8467674727532414E-2</v>
      </c>
      <c r="P243" s="6">
        <f t="shared" si="123"/>
        <v>0.44502554140043871</v>
      </c>
      <c r="Q243" s="6">
        <f t="shared" si="124"/>
        <v>2.5961926069003959E-2</v>
      </c>
      <c r="R243" s="6">
        <f t="shared" si="125"/>
        <v>1.5773201258904256E-2</v>
      </c>
      <c r="S243" s="6">
        <f t="shared" si="126"/>
        <v>3.3676115964095678E-2</v>
      </c>
      <c r="T243" s="6">
        <f t="shared" si="127"/>
        <v>0.38109554058002509</v>
      </c>
      <c r="V243" s="6">
        <f t="shared" si="128"/>
        <v>17.231843077318171</v>
      </c>
      <c r="W243" s="6">
        <f t="shared" si="129"/>
        <v>77.879469745076776</v>
      </c>
      <c r="X243" s="6">
        <f t="shared" si="130"/>
        <v>4.5433370620756923</v>
      </c>
      <c r="Y243" s="6">
        <f t="shared" si="131"/>
        <v>2.760310220308245</v>
      </c>
      <c r="Z243" s="6">
        <f t="shared" si="132"/>
        <v>5.8933202937167435</v>
      </c>
      <c r="AA243" s="6">
        <f t="shared" si="133"/>
        <v>66.691719601504388</v>
      </c>
      <c r="AC243" s="14">
        <f t="shared" si="134"/>
        <v>3.3318731156003808E-3</v>
      </c>
      <c r="AD243" s="17"/>
      <c r="AE243" s="15">
        <f t="shared" si="135"/>
        <v>-1.5992848874028995E-3</v>
      </c>
    </row>
    <row r="244" spans="2:31" x14ac:dyDescent="0.2">
      <c r="B244" s="6">
        <f t="shared" si="111"/>
        <v>229</v>
      </c>
      <c r="C244" s="6">
        <f t="shared" si="112"/>
        <v>348.16446943241556</v>
      </c>
      <c r="D244" s="6">
        <f t="shared" si="113"/>
        <v>11592.148981080514</v>
      </c>
      <c r="E244" s="6">
        <f t="shared" si="114"/>
        <v>1.1403048288719837</v>
      </c>
      <c r="F244" s="6">
        <f t="shared" si="115"/>
        <v>-0.54424570503229319</v>
      </c>
      <c r="H244" s="6">
        <f t="shared" si="116"/>
        <v>434.76137418093816</v>
      </c>
      <c r="I244" s="6">
        <f t="shared" si="117"/>
        <v>1964.7166571564164</v>
      </c>
      <c r="J244" s="6">
        <f t="shared" si="118"/>
        <v>115.90958032635471</v>
      </c>
      <c r="K244" s="6">
        <f t="shared" si="119"/>
        <v>69.196160911231402</v>
      </c>
      <c r="L244" s="6">
        <f t="shared" si="120"/>
        <v>149.47509724206739</v>
      </c>
      <c r="M244" s="6">
        <f t="shared" si="121"/>
        <v>1684.9063640310915</v>
      </c>
      <c r="O244" s="6">
        <f t="shared" si="122"/>
        <v>9.8385334840559863E-2</v>
      </c>
      <c r="P244" s="6">
        <f t="shared" si="123"/>
        <v>0.44461011870091421</v>
      </c>
      <c r="Q244" s="6">
        <f t="shared" si="124"/>
        <v>2.6230027663154742E-2</v>
      </c>
      <c r="R244" s="6">
        <f t="shared" si="125"/>
        <v>1.5658905931462689E-2</v>
      </c>
      <c r="S244" s="6">
        <f t="shared" si="126"/>
        <v>3.3825814264644552E-2</v>
      </c>
      <c r="T244" s="6">
        <f t="shared" si="127"/>
        <v>0.38128979859926404</v>
      </c>
      <c r="V244" s="6">
        <f t="shared" si="128"/>
        <v>17.217433597097976</v>
      </c>
      <c r="W244" s="6">
        <f t="shared" si="129"/>
        <v>77.806770772659988</v>
      </c>
      <c r="X244" s="6">
        <f t="shared" si="130"/>
        <v>4.5902548410520803</v>
      </c>
      <c r="Y244" s="6">
        <f t="shared" si="131"/>
        <v>2.7403085380059706</v>
      </c>
      <c r="Z244" s="6">
        <f t="shared" si="132"/>
        <v>5.919517496312797</v>
      </c>
      <c r="AA244" s="6">
        <f t="shared" si="133"/>
        <v>66.725714754871206</v>
      </c>
      <c r="AC244" s="14">
        <f t="shared" si="134"/>
        <v>3.2751901155535215E-3</v>
      </c>
      <c r="AD244" s="17"/>
      <c r="AE244" s="15">
        <f t="shared" si="135"/>
        <v>-1.5631856573978761E-3</v>
      </c>
    </row>
    <row r="245" spans="2:31" x14ac:dyDescent="0.2">
      <c r="B245" s="6">
        <f t="shared" si="111"/>
        <v>230</v>
      </c>
      <c r="C245" s="6">
        <f t="shared" si="112"/>
        <v>358.60940351538801</v>
      </c>
      <c r="D245" s="6">
        <f t="shared" si="113"/>
        <v>11940.313450512929</v>
      </c>
      <c r="E245" s="6">
        <f t="shared" si="114"/>
        <v>1.1541590413341551</v>
      </c>
      <c r="F245" s="6">
        <f t="shared" si="115"/>
        <v>-0.54758384839405116</v>
      </c>
      <c r="H245" s="6">
        <f t="shared" si="116"/>
        <v>434.16531505709844</v>
      </c>
      <c r="I245" s="6">
        <f t="shared" si="117"/>
        <v>1961.839988374833</v>
      </c>
      <c r="J245" s="6">
        <f t="shared" si="118"/>
        <v>117.0498851552267</v>
      </c>
      <c r="K245" s="6">
        <f t="shared" si="119"/>
        <v>68.651915206199106</v>
      </c>
      <c r="L245" s="6">
        <f t="shared" si="120"/>
        <v>150.07115636590709</v>
      </c>
      <c r="M245" s="6">
        <f t="shared" si="121"/>
        <v>1684.9063640310915</v>
      </c>
      <c r="O245" s="6">
        <f t="shared" si="122"/>
        <v>9.8301181089353304E-2</v>
      </c>
      <c r="P245" s="6">
        <f t="shared" si="123"/>
        <v>0.44418838004184369</v>
      </c>
      <c r="Q245" s="6">
        <f t="shared" si="124"/>
        <v>2.6501753037592925E-2</v>
      </c>
      <c r="R245" s="6">
        <f t="shared" si="125"/>
        <v>1.5543766659314969E-2</v>
      </c>
      <c r="S245" s="6">
        <f t="shared" si="126"/>
        <v>3.3978236875678532E-2</v>
      </c>
      <c r="T245" s="6">
        <f t="shared" si="127"/>
        <v>0.38148668229621674</v>
      </c>
      <c r="V245" s="6">
        <f t="shared" si="128"/>
        <v>17.202706690636827</v>
      </c>
      <c r="W245" s="6">
        <f t="shared" si="129"/>
        <v>77.732966507322644</v>
      </c>
      <c r="X245" s="6">
        <f t="shared" si="130"/>
        <v>4.637806781578762</v>
      </c>
      <c r="Y245" s="6">
        <f t="shared" si="131"/>
        <v>2.7201591653801196</v>
      </c>
      <c r="Z245" s="6">
        <f t="shared" si="132"/>
        <v>5.9461914532437428</v>
      </c>
      <c r="AA245" s="6">
        <f t="shared" si="133"/>
        <v>66.760169401837928</v>
      </c>
      <c r="AC245" s="14">
        <f t="shared" si="134"/>
        <v>3.2184293831118956E-3</v>
      </c>
      <c r="AD245" s="17"/>
      <c r="AE245" s="15">
        <f t="shared" si="135"/>
        <v>-1.5269645553802503E-3</v>
      </c>
    </row>
    <row r="246" spans="2:31" x14ac:dyDescent="0.2">
      <c r="B246" s="6">
        <f t="shared" si="111"/>
        <v>231</v>
      </c>
      <c r="C246" s="6">
        <f t="shared" si="112"/>
        <v>369.36768562084967</v>
      </c>
      <c r="D246" s="6">
        <f t="shared" si="113"/>
        <v>12298.922854028317</v>
      </c>
      <c r="E246" s="6">
        <f t="shared" si="114"/>
        <v>1.1677978924779109</v>
      </c>
      <c r="F246" s="6">
        <f t="shared" si="115"/>
        <v>-0.55061773882153753</v>
      </c>
      <c r="H246" s="6">
        <f t="shared" si="116"/>
        <v>433.55873986415833</v>
      </c>
      <c r="I246" s="6">
        <f t="shared" si="117"/>
        <v>1958.9250950992246</v>
      </c>
      <c r="J246" s="6">
        <f t="shared" si="118"/>
        <v>118.20404419656086</v>
      </c>
      <c r="K246" s="6">
        <f t="shared" si="119"/>
        <v>68.104331357805052</v>
      </c>
      <c r="L246" s="6">
        <f t="shared" si="120"/>
        <v>150.6777315588472</v>
      </c>
      <c r="M246" s="6">
        <f t="shared" si="121"/>
        <v>1684.9063640310915</v>
      </c>
      <c r="O246" s="6">
        <f t="shared" si="122"/>
        <v>9.8215174647501319E-2</v>
      </c>
      <c r="P246" s="6">
        <f t="shared" si="123"/>
        <v>0.44376033198367681</v>
      </c>
      <c r="Q246" s="6">
        <f t="shared" si="124"/>
        <v>2.6777065659992532E-2</v>
      </c>
      <c r="R246" s="6">
        <f t="shared" si="125"/>
        <v>1.542784906297557E-2</v>
      </c>
      <c r="S246" s="6">
        <f t="shared" si="126"/>
        <v>3.4133413445149877E-2</v>
      </c>
      <c r="T246" s="6">
        <f t="shared" si="127"/>
        <v>0.38168616520070375</v>
      </c>
      <c r="V246" s="6">
        <f t="shared" si="128"/>
        <v>17.187655563312731</v>
      </c>
      <c r="W246" s="6">
        <f t="shared" si="129"/>
        <v>77.658058097143439</v>
      </c>
      <c r="X246" s="6">
        <f t="shared" si="130"/>
        <v>4.685986490498693</v>
      </c>
      <c r="Y246" s="6">
        <f t="shared" si="131"/>
        <v>2.6998735860207246</v>
      </c>
      <c r="Z246" s="6">
        <f t="shared" si="132"/>
        <v>5.9733473529012286</v>
      </c>
      <c r="AA246" s="6">
        <f t="shared" si="133"/>
        <v>66.795078910123152</v>
      </c>
      <c r="AC246" s="14">
        <f t="shared" si="134"/>
        <v>3.161613584347597E-3</v>
      </c>
      <c r="AD246" s="17"/>
      <c r="AE246" s="15">
        <f t="shared" si="135"/>
        <v>-1.4907036003867927E-3</v>
      </c>
    </row>
    <row r="247" spans="2:31" x14ac:dyDescent="0.2">
      <c r="B247" s="6">
        <f t="shared" si="111"/>
        <v>232</v>
      </c>
      <c r="C247" s="6">
        <f t="shared" si="112"/>
        <v>380.44871618947519</v>
      </c>
      <c r="D247" s="6">
        <f t="shared" si="113"/>
        <v>12668.290539649166</v>
      </c>
      <c r="E247" s="6">
        <f t="shared" si="114"/>
        <v>1.1812047047282634</v>
      </c>
      <c r="F247" s="6">
        <f t="shared" si="115"/>
        <v>-0.55335353726345615</v>
      </c>
      <c r="H247" s="6">
        <f t="shared" si="116"/>
        <v>432.94155971050196</v>
      </c>
      <c r="I247" s="6">
        <f t="shared" si="117"/>
        <v>1955.9723191606124</v>
      </c>
      <c r="J247" s="6">
        <f t="shared" si="118"/>
        <v>119.37184208903876</v>
      </c>
      <c r="K247" s="6">
        <f t="shared" si="119"/>
        <v>67.553713618983508</v>
      </c>
      <c r="L247" s="6">
        <f t="shared" si="120"/>
        <v>151.29491171250359</v>
      </c>
      <c r="M247" s="6">
        <f t="shared" si="121"/>
        <v>1684.9063640310915</v>
      </c>
      <c r="O247" s="6">
        <f t="shared" si="122"/>
        <v>9.8127281259567795E-2</v>
      </c>
      <c r="P247" s="6">
        <f t="shared" si="123"/>
        <v>0.44332599075622242</v>
      </c>
      <c r="Q247" s="6">
        <f t="shared" si="124"/>
        <v>2.7055924894289329E-2</v>
      </c>
      <c r="R247" s="6">
        <f t="shared" si="125"/>
        <v>1.5311217201810926E-2</v>
      </c>
      <c r="S247" s="6">
        <f t="shared" si="126"/>
        <v>3.4291368019003766E-2</v>
      </c>
      <c r="T247" s="6">
        <f t="shared" si="127"/>
        <v>0.38188821786910576</v>
      </c>
      <c r="V247" s="6">
        <f t="shared" si="128"/>
        <v>17.172274220424363</v>
      </c>
      <c r="W247" s="6">
        <f t="shared" si="129"/>
        <v>77.582048382338925</v>
      </c>
      <c r="X247" s="6">
        <f t="shared" si="130"/>
        <v>4.7347868565006328</v>
      </c>
      <c r="Y247" s="6">
        <f t="shared" si="131"/>
        <v>2.6794630103169119</v>
      </c>
      <c r="Z247" s="6">
        <f t="shared" si="132"/>
        <v>6.0009894033256588</v>
      </c>
      <c r="AA247" s="6">
        <f t="shared" si="133"/>
        <v>66.830438127093515</v>
      </c>
      <c r="AC247" s="14">
        <f t="shared" si="134"/>
        <v>3.1047672247630533E-3</v>
      </c>
      <c r="AD247" s="17"/>
      <c r="AE247" s="15">
        <f t="shared" si="135"/>
        <v>-1.4544760271654302E-3</v>
      </c>
    </row>
    <row r="248" spans="2:31" x14ac:dyDescent="0.2">
      <c r="B248" s="6">
        <f t="shared" si="111"/>
        <v>233</v>
      </c>
      <c r="C248" s="6">
        <f t="shared" si="112"/>
        <v>391.86217767515944</v>
      </c>
      <c r="D248" s="6">
        <f t="shared" si="113"/>
        <v>13048.739255838642</v>
      </c>
      <c r="E248" s="6">
        <f t="shared" si="114"/>
        <v>1.1943631504623846</v>
      </c>
      <c r="F248" s="6">
        <f t="shared" si="115"/>
        <v>-0.55579660616239579</v>
      </c>
      <c r="H248" s="6">
        <f t="shared" si="116"/>
        <v>432.31370854303714</v>
      </c>
      <c r="I248" s="6">
        <f t="shared" si="117"/>
        <v>1952.9820585836912</v>
      </c>
      <c r="J248" s="6">
        <f t="shared" si="118"/>
        <v>120.55304679376702</v>
      </c>
      <c r="K248" s="6">
        <f t="shared" si="119"/>
        <v>67.000360081720046</v>
      </c>
      <c r="L248" s="6">
        <f t="shared" si="120"/>
        <v>151.92276287996839</v>
      </c>
      <c r="M248" s="6">
        <f t="shared" si="121"/>
        <v>1684.9063640310915</v>
      </c>
      <c r="O248" s="6">
        <f t="shared" si="122"/>
        <v>9.8037470999528892E-2</v>
      </c>
      <c r="P248" s="6">
        <f t="shared" si="123"/>
        <v>0.44288538195160737</v>
      </c>
      <c r="Q248" s="6">
        <f t="shared" si="124"/>
        <v>2.7338286053383901E-2</v>
      </c>
      <c r="R248" s="6">
        <f t="shared" si="125"/>
        <v>1.5193933776947808E-2</v>
      </c>
      <c r="S248" s="6">
        <f t="shared" si="126"/>
        <v>3.4452119295982228E-2</v>
      </c>
      <c r="T248" s="6">
        <f t="shared" si="127"/>
        <v>0.38209280792254968</v>
      </c>
      <c r="V248" s="6">
        <f t="shared" si="128"/>
        <v>17.156557424917555</v>
      </c>
      <c r="W248" s="6">
        <f t="shared" si="129"/>
        <v>77.504941841531291</v>
      </c>
      <c r="X248" s="6">
        <f t="shared" si="130"/>
        <v>4.784200059342183</v>
      </c>
      <c r="Y248" s="6">
        <f t="shared" si="131"/>
        <v>2.6589384109658663</v>
      </c>
      <c r="Z248" s="6">
        <f t="shared" si="132"/>
        <v>6.02912087679689</v>
      </c>
      <c r="AA248" s="6">
        <f t="shared" si="133"/>
        <v>66.866241386446191</v>
      </c>
      <c r="AC248" s="14">
        <f t="shared" si="134"/>
        <v>3.0479163810814922E-3</v>
      </c>
      <c r="AD248" s="17"/>
      <c r="AE248" s="15">
        <f t="shared" si="135"/>
        <v>-1.4183471583295608E-3</v>
      </c>
    </row>
    <row r="249" spans="2:31" x14ac:dyDescent="0.2">
      <c r="B249" s="6">
        <f t="shared" si="111"/>
        <v>234</v>
      </c>
      <c r="C249" s="6">
        <f t="shared" si="112"/>
        <v>403.61804300541422</v>
      </c>
      <c r="D249" s="6">
        <f t="shared" si="113"/>
        <v>13440.601433513801</v>
      </c>
      <c r="E249" s="6">
        <f t="shared" si="114"/>
        <v>1.2072572653229112</v>
      </c>
      <c r="F249" s="6">
        <f t="shared" si="115"/>
        <v>-0.55795158695338198</v>
      </c>
      <c r="H249" s="6">
        <f t="shared" si="116"/>
        <v>431.67514199873716</v>
      </c>
      <c r="I249" s="6">
        <f t="shared" si="117"/>
        <v>1949.9547657384664</v>
      </c>
      <c r="J249" s="6">
        <f t="shared" si="118"/>
        <v>121.7474099442294</v>
      </c>
      <c r="K249" s="6">
        <f t="shared" si="119"/>
        <v>66.444563475557658</v>
      </c>
      <c r="L249" s="6">
        <f t="shared" si="120"/>
        <v>152.56132942426837</v>
      </c>
      <c r="M249" s="6">
        <f t="shared" si="121"/>
        <v>1684.9063640310915</v>
      </c>
      <c r="O249" s="6">
        <f t="shared" si="122"/>
        <v>9.794571804070891E-2</v>
      </c>
      <c r="P249" s="6">
        <f t="shared" si="123"/>
        <v>0.44243854022457274</v>
      </c>
      <c r="Q249" s="6">
        <f t="shared" si="124"/>
        <v>2.7624100455195953E-2</v>
      </c>
      <c r="R249" s="6">
        <f t="shared" si="125"/>
        <v>1.5076060320225699E-2</v>
      </c>
      <c r="S249" s="6">
        <f t="shared" si="126"/>
        <v>3.461568087177188E-2</v>
      </c>
      <c r="T249" s="6">
        <f t="shared" si="127"/>
        <v>0.38229990008752485</v>
      </c>
      <c r="V249" s="6">
        <f t="shared" si="128"/>
        <v>17.140500657124058</v>
      </c>
      <c r="W249" s="6">
        <f t="shared" si="129"/>
        <v>77.42674453930023</v>
      </c>
      <c r="X249" s="6">
        <f t="shared" si="130"/>
        <v>4.8342175796592919</v>
      </c>
      <c r="Y249" s="6">
        <f t="shared" si="131"/>
        <v>2.6383105560394973</v>
      </c>
      <c r="Z249" s="6">
        <f t="shared" si="132"/>
        <v>6.0577441525600788</v>
      </c>
      <c r="AA249" s="6">
        <f t="shared" si="133"/>
        <v>66.902482515316848</v>
      </c>
      <c r="AC249" s="14">
        <f t="shared" si="134"/>
        <v>2.991088446724164E-3</v>
      </c>
      <c r="AD249" s="17"/>
      <c r="AE249" s="15">
        <f t="shared" si="135"/>
        <v>-1.3823752347609929E-3</v>
      </c>
    </row>
    <row r="250" spans="2:31" x14ac:dyDescent="0.2">
      <c r="B250" s="6">
        <f t="shared" si="111"/>
        <v>235</v>
      </c>
      <c r="C250" s="6">
        <f t="shared" si="112"/>
        <v>415.72658429557669</v>
      </c>
      <c r="D250" s="6">
        <f t="shared" si="113"/>
        <v>13844.219476519214</v>
      </c>
      <c r="E250" s="6">
        <f t="shared" si="114"/>
        <v>1.2198714601403451</v>
      </c>
      <c r="F250" s="6">
        <f t="shared" si="115"/>
        <v>-0.55982248808518542</v>
      </c>
      <c r="H250" s="6">
        <f t="shared" si="116"/>
        <v>431.0258363203676</v>
      </c>
      <c r="I250" s="6">
        <f t="shared" si="117"/>
        <v>1946.8909455294511</v>
      </c>
      <c r="J250" s="6">
        <f t="shared" si="118"/>
        <v>122.95466720955231</v>
      </c>
      <c r="K250" s="6">
        <f t="shared" si="119"/>
        <v>65.886611888604278</v>
      </c>
      <c r="L250" s="6">
        <f t="shared" si="120"/>
        <v>153.21063510263789</v>
      </c>
      <c r="M250" s="6">
        <f t="shared" si="121"/>
        <v>1684.9063640310915</v>
      </c>
      <c r="O250" s="6">
        <f t="shared" si="122"/>
        <v>9.7852000440705508E-2</v>
      </c>
      <c r="P250" s="6">
        <f t="shared" si="123"/>
        <v>0.44198550900404859</v>
      </c>
      <c r="Q250" s="6">
        <f t="shared" si="124"/>
        <v>2.791331548170442E-2</v>
      </c>
      <c r="R250" s="6">
        <f t="shared" si="125"/>
        <v>1.495765736596901E-2</v>
      </c>
      <c r="S250" s="6">
        <f t="shared" si="126"/>
        <v>3.478206146891169E-2</v>
      </c>
      <c r="T250" s="6">
        <f t="shared" si="127"/>
        <v>0.38250945623866095</v>
      </c>
      <c r="V250" s="6">
        <f t="shared" si="128"/>
        <v>17.124100077123465</v>
      </c>
      <c r="W250" s="6">
        <f t="shared" si="129"/>
        <v>77.347464075708501</v>
      </c>
      <c r="X250" s="6">
        <f t="shared" si="130"/>
        <v>4.8848302092982738</v>
      </c>
      <c r="Y250" s="6">
        <f t="shared" si="131"/>
        <v>2.6175900390445768</v>
      </c>
      <c r="Z250" s="6">
        <f t="shared" si="132"/>
        <v>6.0868607570595454</v>
      </c>
      <c r="AA250" s="6">
        <f t="shared" si="133"/>
        <v>66.939154841765671</v>
      </c>
      <c r="AC250" s="14">
        <f t="shared" si="134"/>
        <v>2.9343118920512213E-3</v>
      </c>
      <c r="AD250" s="17"/>
      <c r="AE250" s="15">
        <f t="shared" si="135"/>
        <v>-1.3466121947283464E-3</v>
      </c>
    </row>
    <row r="251" spans="2:31" x14ac:dyDescent="0.2">
      <c r="B251" s="6">
        <f t="shared" si="111"/>
        <v>236</v>
      </c>
      <c r="C251" s="6">
        <f t="shared" si="112"/>
        <v>428.19838182444397</v>
      </c>
      <c r="D251" s="6">
        <f t="shared" si="113"/>
        <v>14259.946060814791</v>
      </c>
      <c r="E251" s="6">
        <f t="shared" si="114"/>
        <v>1.2321905318439821</v>
      </c>
      <c r="F251" s="6">
        <f t="shared" si="115"/>
        <v>-0.5614127801551474</v>
      </c>
      <c r="H251" s="6">
        <f t="shared" si="116"/>
        <v>430.36578734831244</v>
      </c>
      <c r="I251" s="6">
        <f t="shared" si="117"/>
        <v>1943.7911536371153</v>
      </c>
      <c r="J251" s="6">
        <f t="shared" si="118"/>
        <v>124.17453866969265</v>
      </c>
      <c r="K251" s="6">
        <f t="shared" si="119"/>
        <v>65.32678940051909</v>
      </c>
      <c r="L251" s="6">
        <f t="shared" si="120"/>
        <v>153.87068407469306</v>
      </c>
      <c r="M251" s="6">
        <f t="shared" si="121"/>
        <v>1684.9063640310915</v>
      </c>
      <c r="O251" s="6">
        <f t="shared" si="122"/>
        <v>9.7756299943959457E-2</v>
      </c>
      <c r="P251" s="6">
        <f t="shared" si="123"/>
        <v>0.44152634021899073</v>
      </c>
      <c r="Q251" s="6">
        <f t="shared" si="124"/>
        <v>2.8205874640710719E-2</v>
      </c>
      <c r="R251" s="6">
        <f t="shared" si="125"/>
        <v>1.4838784603118282E-2</v>
      </c>
      <c r="S251" s="6">
        <f t="shared" si="126"/>
        <v>3.4951265149741007E-2</v>
      </c>
      <c r="T251" s="6">
        <f t="shared" si="127"/>
        <v>0.38272143544347981</v>
      </c>
      <c r="V251" s="6">
        <f t="shared" si="128"/>
        <v>17.107352490192905</v>
      </c>
      <c r="W251" s="6">
        <f t="shared" si="129"/>
        <v>77.267109538323382</v>
      </c>
      <c r="X251" s="6">
        <f t="shared" si="130"/>
        <v>4.9360280621243762</v>
      </c>
      <c r="Y251" s="6">
        <f t="shared" si="131"/>
        <v>2.5967873055456994</v>
      </c>
      <c r="Z251" s="6">
        <f t="shared" si="132"/>
        <v>6.1164714012046764</v>
      </c>
      <c r="AA251" s="6">
        <f t="shared" si="133"/>
        <v>66.976251202608964</v>
      </c>
      <c r="AC251" s="14">
        <f t="shared" si="134"/>
        <v>2.8776160400091491E-3</v>
      </c>
      <c r="AD251" s="17"/>
      <c r="AE251" s="15">
        <f t="shared" si="135"/>
        <v>-1.3111043945638254E-3</v>
      </c>
    </row>
    <row r="252" spans="2:31" x14ac:dyDescent="0.2">
      <c r="B252" s="6">
        <f t="shared" si="111"/>
        <v>237</v>
      </c>
      <c r="C252" s="6">
        <f t="shared" si="112"/>
        <v>441.04433327917729</v>
      </c>
      <c r="D252" s="6">
        <f t="shared" si="113"/>
        <v>14688.144442639235</v>
      </c>
      <c r="E252" s="6">
        <f t="shared" si="114"/>
        <v>1.2441996736780598</v>
      </c>
      <c r="F252" s="6">
        <f t="shared" si="115"/>
        <v>-0.56272549486809353</v>
      </c>
      <c r="H252" s="6">
        <f t="shared" si="116"/>
        <v>429.69500959662361</v>
      </c>
      <c r="I252" s="6">
        <f t="shared" si="117"/>
        <v>1940.6559948217387</v>
      </c>
      <c r="J252" s="6">
        <f t="shared" si="118"/>
        <v>125.40672920153663</v>
      </c>
      <c r="K252" s="6">
        <f t="shared" si="119"/>
        <v>64.765376620363938</v>
      </c>
      <c r="L252" s="6">
        <f t="shared" si="120"/>
        <v>154.54146182638189</v>
      </c>
      <c r="M252" s="6">
        <f t="shared" si="121"/>
        <v>1684.9063640310915</v>
      </c>
      <c r="O252" s="6">
        <f t="shared" si="122"/>
        <v>9.7658601803791295E-2</v>
      </c>
      <c r="P252" s="6">
        <f t="shared" si="123"/>
        <v>0.44106109404051552</v>
      </c>
      <c r="Q252" s="6">
        <f t="shared" si="124"/>
        <v>2.8501717630152773E-2</v>
      </c>
      <c r="R252" s="6">
        <f t="shared" si="125"/>
        <v>1.4719501006023308E-2</v>
      </c>
      <c r="S252" s="6">
        <f t="shared" si="126"/>
        <v>3.5123291510521258E-2</v>
      </c>
      <c r="T252" s="6">
        <f t="shared" si="127"/>
        <v>0.38293579400899591</v>
      </c>
      <c r="V252" s="6">
        <f t="shared" si="128"/>
        <v>17.090255315663477</v>
      </c>
      <c r="W252" s="6">
        <f t="shared" si="129"/>
        <v>77.185691457090215</v>
      </c>
      <c r="X252" s="6">
        <f t="shared" si="130"/>
        <v>4.9878005852767355</v>
      </c>
      <c r="Y252" s="6">
        <f t="shared" si="131"/>
        <v>2.5759126760540787</v>
      </c>
      <c r="Z252" s="6">
        <f t="shared" si="132"/>
        <v>6.1465760143412203</v>
      </c>
      <c r="AA252" s="6">
        <f t="shared" si="133"/>
        <v>67.01376395157429</v>
      </c>
      <c r="AC252" s="14">
        <f t="shared" si="134"/>
        <v>2.8210308574364838E-3</v>
      </c>
      <c r="AD252" s="17"/>
      <c r="AE252" s="15">
        <f t="shared" si="135"/>
        <v>-1.2758932660674118E-3</v>
      </c>
    </row>
    <row r="253" spans="2:31" x14ac:dyDescent="0.2">
      <c r="B253" s="6">
        <f t="shared" si="111"/>
        <v>238</v>
      </c>
      <c r="C253" s="6">
        <f t="shared" si="112"/>
        <v>454.27566327755261</v>
      </c>
      <c r="D253" s="6">
        <f t="shared" si="113"/>
        <v>15129.188775918412</v>
      </c>
      <c r="E253" s="6">
        <f t="shared" si="114"/>
        <v>1.255884484969289</v>
      </c>
      <c r="F253" s="6">
        <f t="shared" si="115"/>
        <v>-0.56376332474972934</v>
      </c>
      <c r="H253" s="6">
        <f t="shared" si="116"/>
        <v>429.01353541781367</v>
      </c>
      <c r="I253" s="6">
        <f t="shared" si="117"/>
        <v>1937.4861212955725</v>
      </c>
      <c r="J253" s="6">
        <f t="shared" si="118"/>
        <v>126.65092887521469</v>
      </c>
      <c r="K253" s="6">
        <f t="shared" si="119"/>
        <v>64.202651125495848</v>
      </c>
      <c r="L253" s="6">
        <f t="shared" si="120"/>
        <v>155.22293600519185</v>
      </c>
      <c r="M253" s="6">
        <f t="shared" si="121"/>
        <v>1684.9063640310915</v>
      </c>
      <c r="O253" s="6">
        <f t="shared" si="122"/>
        <v>9.7558894624933071E-2</v>
      </c>
      <c r="P253" s="6">
        <f t="shared" si="123"/>
        <v>0.44058983864147921</v>
      </c>
      <c r="Q253" s="6">
        <f t="shared" si="124"/>
        <v>2.8800780404873712E-2</v>
      </c>
      <c r="R253" s="6">
        <f t="shared" si="125"/>
        <v>1.4599864942940709E-2</v>
      </c>
      <c r="S253" s="6">
        <f t="shared" si="126"/>
        <v>3.529813585567923E-2</v>
      </c>
      <c r="T253" s="6">
        <f t="shared" si="127"/>
        <v>0.38315248553009412</v>
      </c>
      <c r="V253" s="6">
        <f t="shared" si="128"/>
        <v>17.072806559363286</v>
      </c>
      <c r="W253" s="6">
        <f t="shared" si="129"/>
        <v>77.103221762258869</v>
      </c>
      <c r="X253" s="6">
        <f t="shared" si="130"/>
        <v>5.0401365708528996</v>
      </c>
      <c r="Y253" s="6">
        <f t="shared" si="131"/>
        <v>2.5549763650146242</v>
      </c>
      <c r="Z253" s="6">
        <f t="shared" si="132"/>
        <v>6.1771737747438653</v>
      </c>
      <c r="AA253" s="6">
        <f t="shared" si="133"/>
        <v>67.051684967766477</v>
      </c>
      <c r="AC253" s="14">
        <f t="shared" si="134"/>
        <v>2.7645867619414395E-3</v>
      </c>
      <c r="AD253" s="17"/>
      <c r="AE253" s="15">
        <f t="shared" si="135"/>
        <v>-1.2410159080110839E-3</v>
      </c>
    </row>
    <row r="254" spans="2:31" x14ac:dyDescent="0.2">
      <c r="B254" s="6">
        <f t="shared" si="111"/>
        <v>239</v>
      </c>
      <c r="C254" s="6">
        <f t="shared" si="112"/>
        <v>467.90393317587922</v>
      </c>
      <c r="D254" s="6">
        <f t="shared" si="113"/>
        <v>15583.464439195965</v>
      </c>
      <c r="E254" s="6">
        <f t="shared" si="114"/>
        <v>1.2672309806176307</v>
      </c>
      <c r="F254" s="6">
        <f t="shared" si="115"/>
        <v>-0.56452872084774552</v>
      </c>
      <c r="H254" s="6">
        <f t="shared" si="116"/>
        <v>428.32141425759414</v>
      </c>
      <c r="I254" s="6">
        <f t="shared" si="117"/>
        <v>1934.2822311654145</v>
      </c>
      <c r="J254" s="6">
        <f t="shared" si="118"/>
        <v>127.90681336018397</v>
      </c>
      <c r="K254" s="6">
        <f t="shared" si="119"/>
        <v>63.638887800746119</v>
      </c>
      <c r="L254" s="6">
        <f t="shared" si="120"/>
        <v>155.91505716541141</v>
      </c>
      <c r="M254" s="6">
        <f t="shared" si="121"/>
        <v>1684.9063640310915</v>
      </c>
      <c r="O254" s="6">
        <f t="shared" si="122"/>
        <v>9.7457170226846815E-2</v>
      </c>
      <c r="P254" s="6">
        <f t="shared" si="123"/>
        <v>0.44011264997384048</v>
      </c>
      <c r="Q254" s="6">
        <f t="shared" si="124"/>
        <v>2.9102995245809057E-2</v>
      </c>
      <c r="R254" s="6">
        <f t="shared" si="125"/>
        <v>1.4479934261971252E-2</v>
      </c>
      <c r="S254" s="6">
        <f t="shared" si="126"/>
        <v>3.5475789351871387E-2</v>
      </c>
      <c r="T254" s="6">
        <f t="shared" si="127"/>
        <v>0.38337146093966096</v>
      </c>
      <c r="V254" s="6">
        <f t="shared" si="128"/>
        <v>17.055004789698192</v>
      </c>
      <c r="W254" s="6">
        <f t="shared" si="129"/>
        <v>77.019713745422081</v>
      </c>
      <c r="X254" s="6">
        <f t="shared" si="130"/>
        <v>5.0930241680165853</v>
      </c>
      <c r="Y254" s="6">
        <f t="shared" si="131"/>
        <v>2.533988495844969</v>
      </c>
      <c r="Z254" s="6">
        <f t="shared" si="132"/>
        <v>6.208263136577493</v>
      </c>
      <c r="AA254" s="6">
        <f t="shared" si="133"/>
        <v>67.090005664440667</v>
      </c>
      <c r="AC254" s="14">
        <f t="shared" si="134"/>
        <v>2.7083144439850101E-3</v>
      </c>
      <c r="AD254" s="17"/>
      <c r="AE254" s="15">
        <f t="shared" si="135"/>
        <v>-1.206505611132673E-3</v>
      </c>
    </row>
    <row r="255" spans="2:31" x14ac:dyDescent="0.2">
      <c r="B255" s="6">
        <f t="shared" si="111"/>
        <v>240</v>
      </c>
      <c r="C255" s="6">
        <f t="shared" si="112"/>
        <v>481.94105117115561</v>
      </c>
      <c r="D255" s="6">
        <f t="shared" si="113"/>
        <v>16051.368372371844</v>
      </c>
      <c r="E255" s="6">
        <f t="shared" si="114"/>
        <v>1.2782256004082122</v>
      </c>
      <c r="F255" s="6">
        <f t="shared" si="115"/>
        <v>-0.5650239860210059</v>
      </c>
      <c r="H255" s="6">
        <f t="shared" si="116"/>
        <v>427.61871199782428</v>
      </c>
      <c r="I255" s="6">
        <f t="shared" si="117"/>
        <v>1931.0450669444092</v>
      </c>
      <c r="J255" s="6">
        <f t="shared" si="118"/>
        <v>129.1740443408016</v>
      </c>
      <c r="K255" s="6">
        <f t="shared" si="119"/>
        <v>63.074359079898372</v>
      </c>
      <c r="L255" s="6">
        <f t="shared" si="120"/>
        <v>156.6177594251813</v>
      </c>
      <c r="M255" s="6">
        <f t="shared" si="121"/>
        <v>1684.9063640310915</v>
      </c>
      <c r="O255" s="6">
        <f t="shared" si="122"/>
        <v>9.735342352746347E-2</v>
      </c>
      <c r="P255" s="6">
        <f t="shared" si="123"/>
        <v>0.43962961156343089</v>
      </c>
      <c r="Q255" s="6">
        <f t="shared" si="124"/>
        <v>2.94082908315981E-2</v>
      </c>
      <c r="R255" s="6">
        <f t="shared" si="125"/>
        <v>1.4359766354798572E-2</v>
      </c>
      <c r="S255" s="6">
        <f t="shared" si="126"/>
        <v>3.5656239162236751E-2</v>
      </c>
      <c r="T255" s="6">
        <f t="shared" si="127"/>
        <v>0.38359266856047214</v>
      </c>
      <c r="V255" s="6">
        <f t="shared" si="128"/>
        <v>17.036849117306108</v>
      </c>
      <c r="W255" s="6">
        <f t="shared" si="129"/>
        <v>76.935182023600404</v>
      </c>
      <c r="X255" s="6">
        <f t="shared" si="130"/>
        <v>5.1464508955296671</v>
      </c>
      <c r="Y255" s="6">
        <f t="shared" si="131"/>
        <v>2.5129591120897503</v>
      </c>
      <c r="Z255" s="6">
        <f t="shared" si="132"/>
        <v>6.2398418533914315</v>
      </c>
      <c r="AA255" s="6">
        <f t="shared" si="133"/>
        <v>67.128716998082623</v>
      </c>
      <c r="AC255" s="14">
        <f t="shared" si="134"/>
        <v>2.6522447035836044E-3</v>
      </c>
      <c r="AD255" s="17"/>
      <c r="AE255" s="15">
        <f t="shared" si="135"/>
        <v>-1.1723923177906345E-3</v>
      </c>
    </row>
    <row r="256" spans="2:31" x14ac:dyDescent="0.2">
      <c r="B256" s="6">
        <f t="shared" si="111"/>
        <v>241</v>
      </c>
      <c r="C256" s="6">
        <f t="shared" si="112"/>
        <v>496.39928270629031</v>
      </c>
      <c r="D256" s="6">
        <f t="shared" si="113"/>
        <v>16533.309423543</v>
      </c>
      <c r="E256" s="6">
        <f t="shared" si="114"/>
        <v>1.2888552181725033</v>
      </c>
      <c r="F256" s="6">
        <f t="shared" si="115"/>
        <v>-0.56525136182732982</v>
      </c>
      <c r="H256" s="6">
        <f t="shared" si="116"/>
        <v>426.90551038343705</v>
      </c>
      <c r="I256" s="6">
        <f t="shared" si="117"/>
        <v>1927.7754141292057</v>
      </c>
      <c r="J256" s="6">
        <f t="shared" si="118"/>
        <v>130.45226994120981</v>
      </c>
      <c r="K256" s="6">
        <f t="shared" si="119"/>
        <v>62.509335093877368</v>
      </c>
      <c r="L256" s="6">
        <f t="shared" si="120"/>
        <v>157.33096103956851</v>
      </c>
      <c r="M256" s="6">
        <f t="shared" si="121"/>
        <v>1684.9063640310915</v>
      </c>
      <c r="O256" s="6">
        <f t="shared" si="122"/>
        <v>9.7247652446412508E-2</v>
      </c>
      <c r="P256" s="6">
        <f t="shared" si="123"/>
        <v>0.43914081432116697</v>
      </c>
      <c r="Q256" s="6">
        <f t="shared" si="124"/>
        <v>2.9716592312649968E-2</v>
      </c>
      <c r="R256" s="6">
        <f t="shared" si="125"/>
        <v>1.4239418199136858E-2</v>
      </c>
      <c r="S256" s="6">
        <f t="shared" si="126"/>
        <v>3.5839468561775757E-2</v>
      </c>
      <c r="T256" s="6">
        <f t="shared" si="127"/>
        <v>0.383816054158858</v>
      </c>
      <c r="V256" s="6">
        <f t="shared" si="128"/>
        <v>17.01833917812219</v>
      </c>
      <c r="W256" s="6">
        <f t="shared" si="129"/>
        <v>76.849642506204219</v>
      </c>
      <c r="X256" s="6">
        <f t="shared" si="130"/>
        <v>5.2004036547137442</v>
      </c>
      <c r="Y256" s="6">
        <f t="shared" si="131"/>
        <v>2.4918981848489503</v>
      </c>
      <c r="Z256" s="6">
        <f t="shared" si="132"/>
        <v>6.2719069983107572</v>
      </c>
      <c r="AA256" s="6">
        <f t="shared" si="133"/>
        <v>67.167809477800148</v>
      </c>
      <c r="AC256" s="14">
        <f t="shared" si="134"/>
        <v>2.5964083008860701E-3</v>
      </c>
      <c r="AD256" s="17"/>
      <c r="AE256" s="15">
        <f t="shared" si="135"/>
        <v>-1.1387030189601985E-3</v>
      </c>
    </row>
    <row r="257" spans="2:31" x14ac:dyDescent="0.2">
      <c r="B257" s="6">
        <f t="shared" si="111"/>
        <v>242</v>
      </c>
      <c r="C257" s="6">
        <f t="shared" si="112"/>
        <v>511.29126118747905</v>
      </c>
      <c r="D257" s="6">
        <f t="shared" si="113"/>
        <v>17029.70870624929</v>
      </c>
      <c r="E257" s="6">
        <f t="shared" si="114"/>
        <v>1.2991071507642209</v>
      </c>
      <c r="F257" s="6">
        <f t="shared" si="115"/>
        <v>-0.56521310745350017</v>
      </c>
      <c r="H257" s="6">
        <f t="shared" si="116"/>
        <v>426.18190652709188</v>
      </c>
      <c r="I257" s="6">
        <f t="shared" si="117"/>
        <v>1924.4740998365155</v>
      </c>
      <c r="J257" s="6">
        <f t="shared" si="118"/>
        <v>131.74112515938231</v>
      </c>
      <c r="K257" s="6">
        <f t="shared" si="119"/>
        <v>61.944083732050039</v>
      </c>
      <c r="L257" s="6">
        <f t="shared" si="120"/>
        <v>158.05456489591367</v>
      </c>
      <c r="M257" s="6">
        <f t="shared" si="121"/>
        <v>1684.9063640310915</v>
      </c>
      <c r="O257" s="6">
        <f t="shared" si="122"/>
        <v>9.7139857826351719E-2</v>
      </c>
      <c r="P257" s="6">
        <f t="shared" si="123"/>
        <v>0.43864635636926452</v>
      </c>
      <c r="Q257" s="6">
        <f t="shared" si="124"/>
        <v>3.0027821387702425E-2</v>
      </c>
      <c r="R257" s="6">
        <f t="shared" si="125"/>
        <v>1.4118946381250136E-2</v>
      </c>
      <c r="S257" s="6">
        <f t="shared" si="126"/>
        <v>3.6025457035255296E-2</v>
      </c>
      <c r="T257" s="6">
        <f t="shared" si="127"/>
        <v>0.38404156100017595</v>
      </c>
      <c r="V257" s="6">
        <f t="shared" si="128"/>
        <v>16.999475119611549</v>
      </c>
      <c r="W257" s="6">
        <f t="shared" si="129"/>
        <v>76.763112364621293</v>
      </c>
      <c r="X257" s="6">
        <f t="shared" si="130"/>
        <v>5.2548687428479246</v>
      </c>
      <c r="Y257" s="6">
        <f t="shared" si="131"/>
        <v>2.4708156167187738</v>
      </c>
      <c r="Z257" s="6">
        <f t="shared" si="132"/>
        <v>6.3044549811696768</v>
      </c>
      <c r="AA257" s="6">
        <f t="shared" si="133"/>
        <v>67.207273175030792</v>
      </c>
      <c r="AC257" s="14">
        <f t="shared" si="134"/>
        <v>2.5408358197772274E-3</v>
      </c>
      <c r="AD257" s="17"/>
      <c r="AE257" s="15">
        <f t="shared" si="135"/>
        <v>-1.1054620924691478E-3</v>
      </c>
    </row>
    <row r="258" spans="2:31" x14ac:dyDescent="0.2">
      <c r="B258" s="6">
        <f t="shared" si="111"/>
        <v>243</v>
      </c>
      <c r="C258" s="6">
        <f t="shared" si="112"/>
        <v>526.62999902310344</v>
      </c>
      <c r="D258" s="6">
        <f t="shared" si="113"/>
        <v>17540.999967436768</v>
      </c>
      <c r="E258" s="6">
        <f t="shared" si="114"/>
        <v>1.308969166762519</v>
      </c>
      <c r="F258" s="6">
        <f t="shared" si="115"/>
        <v>-0.56491156956607669</v>
      </c>
      <c r="H258" s="6">
        <f t="shared" si="116"/>
        <v>425.44801248378116</v>
      </c>
      <c r="I258" s="6">
        <f t="shared" si="117"/>
        <v>1921.1419914916762</v>
      </c>
      <c r="J258" s="6">
        <f t="shared" si="118"/>
        <v>133.04023231014654</v>
      </c>
      <c r="K258" s="6">
        <f t="shared" si="119"/>
        <v>61.378870624596537</v>
      </c>
      <c r="L258" s="6">
        <f t="shared" si="120"/>
        <v>158.7884589392244</v>
      </c>
      <c r="M258" s="6">
        <f t="shared" si="121"/>
        <v>1684.9063640310915</v>
      </c>
      <c r="O258" s="6">
        <f t="shared" si="122"/>
        <v>9.7030043370653477E-2</v>
      </c>
      <c r="P258" s="6">
        <f t="shared" si="123"/>
        <v>0.43814634288067605</v>
      </c>
      <c r="Q258" s="6">
        <f t="shared" si="124"/>
        <v>3.034189638290399E-2</v>
      </c>
      <c r="R258" s="6">
        <f t="shared" si="125"/>
        <v>1.3998407100264379E-2</v>
      </c>
      <c r="S258" s="6">
        <f t="shared" si="126"/>
        <v>3.6214180359391203E-2</v>
      </c>
      <c r="T258" s="6">
        <f t="shared" si="127"/>
        <v>0.38426912990611106</v>
      </c>
      <c r="V258" s="6">
        <f t="shared" si="128"/>
        <v>16.980257589864358</v>
      </c>
      <c r="W258" s="6">
        <f t="shared" si="129"/>
        <v>76.675610004118312</v>
      </c>
      <c r="X258" s="6">
        <f t="shared" si="130"/>
        <v>5.3098318670081985</v>
      </c>
      <c r="Y258" s="6">
        <f t="shared" si="131"/>
        <v>2.4497212425462664</v>
      </c>
      <c r="Z258" s="6">
        <f t="shared" si="132"/>
        <v>6.3374815628934602</v>
      </c>
      <c r="AA258" s="6">
        <f t="shared" si="133"/>
        <v>67.247097733569433</v>
      </c>
      <c r="AC258" s="14">
        <f t="shared" si="134"/>
        <v>2.4855575436087034E-3</v>
      </c>
      <c r="AD258" s="17"/>
      <c r="AE258" s="15">
        <f t="shared" si="135"/>
        <v>-1.0726915872889607E-3</v>
      </c>
    </row>
    <row r="259" spans="2:31" x14ac:dyDescent="0.2">
      <c r="B259" s="6">
        <f t="shared" si="111"/>
        <v>244</v>
      </c>
      <c r="C259" s="6">
        <f t="shared" si="112"/>
        <v>542.42889899379657</v>
      </c>
      <c r="D259" s="6">
        <f t="shared" si="113"/>
        <v>18067.62996645987</v>
      </c>
      <c r="E259" s="6">
        <f t="shared" si="114"/>
        <v>1.3184294947732949</v>
      </c>
      <c r="F259" s="6">
        <f t="shared" si="115"/>
        <v>-0.56434924238158879</v>
      </c>
      <c r="H259" s="6">
        <f t="shared" si="116"/>
        <v>424.70395488658471</v>
      </c>
      <c r="I259" s="6">
        <f t="shared" si="117"/>
        <v>1917.7799955609546</v>
      </c>
      <c r="J259" s="6">
        <f t="shared" si="118"/>
        <v>134.34920147690906</v>
      </c>
      <c r="K259" s="6">
        <f t="shared" si="119"/>
        <v>60.813959055030459</v>
      </c>
      <c r="L259" s="6">
        <f t="shared" si="120"/>
        <v>159.53251653642084</v>
      </c>
      <c r="M259" s="6">
        <f t="shared" si="121"/>
        <v>1684.9063640310915</v>
      </c>
      <c r="O259" s="6">
        <f t="shared" si="122"/>
        <v>9.6918215595457338E-2</v>
      </c>
      <c r="P259" s="6">
        <f t="shared" si="123"/>
        <v>0.43764088592974598</v>
      </c>
      <c r="Q259" s="6">
        <f t="shared" si="124"/>
        <v>3.065873233342924E-2</v>
      </c>
      <c r="R259" s="6">
        <f t="shared" si="125"/>
        <v>1.3877856156255286E-2</v>
      </c>
      <c r="S259" s="6">
        <f t="shared" si="126"/>
        <v>3.6405610671300791E-2</v>
      </c>
      <c r="T259" s="6">
        <f t="shared" si="127"/>
        <v>0.38449869931381137</v>
      </c>
      <c r="V259" s="6">
        <f t="shared" si="128"/>
        <v>16.960687729205034</v>
      </c>
      <c r="W259" s="6">
        <f t="shared" si="129"/>
        <v>76.587155037705543</v>
      </c>
      <c r="X259" s="6">
        <f t="shared" si="130"/>
        <v>5.365278158350117</v>
      </c>
      <c r="Y259" s="6">
        <f t="shared" si="131"/>
        <v>2.4286248273446751</v>
      </c>
      <c r="Z259" s="6">
        <f t="shared" si="132"/>
        <v>6.3709818674776386</v>
      </c>
      <c r="AA259" s="6">
        <f t="shared" si="133"/>
        <v>67.287272379916985</v>
      </c>
      <c r="AC259" s="14">
        <f t="shared" si="134"/>
        <v>2.4306033421504208E-3</v>
      </c>
      <c r="AD259" s="17"/>
      <c r="AE259" s="15">
        <f t="shared" si="135"/>
        <v>-1.0404114593238936E-3</v>
      </c>
    </row>
    <row r="260" spans="2:31" x14ac:dyDescent="0.2">
      <c r="B260" s="6">
        <f t="shared" si="111"/>
        <v>245</v>
      </c>
      <c r="C260" s="6">
        <f t="shared" si="112"/>
        <v>558.70176596361046</v>
      </c>
      <c r="D260" s="6">
        <f t="shared" si="113"/>
        <v>18610.058865453666</v>
      </c>
      <c r="E260" s="6">
        <f t="shared" si="114"/>
        <v>1.3274768311701688</v>
      </c>
      <c r="F260" s="6">
        <f t="shared" si="115"/>
        <v>-0.56352881764200791</v>
      </c>
      <c r="H260" s="6">
        <f t="shared" si="116"/>
        <v>423.94987463419301</v>
      </c>
      <c r="I260" s="6">
        <f t="shared" si="117"/>
        <v>1914.3890563190164</v>
      </c>
      <c r="J260" s="6">
        <f t="shared" si="118"/>
        <v>135.66763097168234</v>
      </c>
      <c r="K260" s="6">
        <f t="shared" si="119"/>
        <v>60.24960981264887</v>
      </c>
      <c r="L260" s="6">
        <f t="shared" si="120"/>
        <v>160.28659678881255</v>
      </c>
      <c r="M260" s="6">
        <f t="shared" si="121"/>
        <v>1684.9063640310915</v>
      </c>
      <c r="O260" s="6">
        <f t="shared" si="122"/>
        <v>9.6804383793954743E-2</v>
      </c>
      <c r="P260" s="6">
        <f t="shared" si="123"/>
        <v>0.43713010435197824</v>
      </c>
      <c r="Q260" s="6">
        <f t="shared" si="124"/>
        <v>3.0978241067605963E-2</v>
      </c>
      <c r="R260" s="6">
        <f t="shared" si="125"/>
        <v>1.37573489242619E-2</v>
      </c>
      <c r="S260" s="6">
        <f t="shared" si="126"/>
        <v>3.6599716525354598E-2</v>
      </c>
      <c r="T260" s="6">
        <f t="shared" si="127"/>
        <v>0.3847302053368446</v>
      </c>
      <c r="V260" s="6">
        <f t="shared" si="128"/>
        <v>16.94076716394208</v>
      </c>
      <c r="W260" s="6">
        <f t="shared" si="129"/>
        <v>76.497768261596192</v>
      </c>
      <c r="X260" s="6">
        <f t="shared" si="130"/>
        <v>5.4211921868310435</v>
      </c>
      <c r="Y260" s="6">
        <f t="shared" si="131"/>
        <v>2.4075360617458328</v>
      </c>
      <c r="Z260" s="6">
        <f t="shared" si="132"/>
        <v>6.4049503919370547</v>
      </c>
      <c r="AA260" s="6">
        <f t="shared" si="133"/>
        <v>67.327785933947808</v>
      </c>
      <c r="AC260" s="14">
        <f t="shared" si="134"/>
        <v>2.3760025688850791E-3</v>
      </c>
      <c r="AD260" s="17"/>
      <c r="AE260" s="15">
        <f t="shared" si="135"/>
        <v>-1.0086397644905813E-3</v>
      </c>
    </row>
    <row r="261" spans="2:31" x14ac:dyDescent="0.2">
      <c r="B261" s="6">
        <f t="shared" si="111"/>
        <v>246</v>
      </c>
      <c r="C261" s="6">
        <f t="shared" si="112"/>
        <v>575.46281894251877</v>
      </c>
      <c r="D261" s="6">
        <f t="shared" si="113"/>
        <v>19168.760631417277</v>
      </c>
      <c r="E261" s="6">
        <f t="shared" si="114"/>
        <v>1.3361003470995814</v>
      </c>
      <c r="F261" s="6">
        <f t="shared" si="115"/>
        <v>-0.56245322452685109</v>
      </c>
      <c r="H261" s="6">
        <f t="shared" si="116"/>
        <v>423.18592662066487</v>
      </c>
      <c r="I261" s="6">
        <f t="shared" si="117"/>
        <v>1910.9701546431479</v>
      </c>
      <c r="J261" s="6">
        <f t="shared" si="118"/>
        <v>136.99510780285252</v>
      </c>
      <c r="K261" s="6">
        <f t="shared" si="119"/>
        <v>59.686080995006861</v>
      </c>
      <c r="L261" s="6">
        <f t="shared" si="120"/>
        <v>161.05054480234071</v>
      </c>
      <c r="M261" s="6">
        <f t="shared" si="121"/>
        <v>1684.9063640310915</v>
      </c>
      <c r="O261" s="6">
        <f t="shared" si="122"/>
        <v>9.6688560010719002E-2</v>
      </c>
      <c r="P261" s="6">
        <f t="shared" si="123"/>
        <v>0.43661412361080254</v>
      </c>
      <c r="Q261" s="6">
        <f t="shared" si="124"/>
        <v>3.1300331293493938E-2</v>
      </c>
      <c r="R261" s="6">
        <f t="shared" si="125"/>
        <v>1.3636940316456523E-2</v>
      </c>
      <c r="S261" s="6">
        <f t="shared" si="126"/>
        <v>3.6796462940598448E-2</v>
      </c>
      <c r="T261" s="6">
        <f t="shared" si="127"/>
        <v>0.38496358182792967</v>
      </c>
      <c r="V261" s="6">
        <f t="shared" si="128"/>
        <v>16.920498001875824</v>
      </c>
      <c r="W261" s="6">
        <f t="shared" si="129"/>
        <v>76.407471631890445</v>
      </c>
      <c r="X261" s="6">
        <f t="shared" si="130"/>
        <v>5.4775579763614388</v>
      </c>
      <c r="Y261" s="6">
        <f t="shared" si="131"/>
        <v>2.3864645553798916</v>
      </c>
      <c r="Z261" s="6">
        <f t="shared" si="132"/>
        <v>6.4393810146047281</v>
      </c>
      <c r="AA261" s="6">
        <f t="shared" si="133"/>
        <v>67.368626819887695</v>
      </c>
      <c r="AC261" s="14">
        <f t="shared" si="134"/>
        <v>2.3217839678240627E-3</v>
      </c>
      <c r="AD261" s="17"/>
      <c r="AE261" s="15">
        <f t="shared" si="135"/>
        <v>-9.7739281498746629E-4</v>
      </c>
    </row>
    <row r="262" spans="2:31" x14ac:dyDescent="0.2">
      <c r="B262" s="6">
        <f t="shared" si="111"/>
        <v>247</v>
      </c>
      <c r="C262" s="6">
        <f t="shared" si="112"/>
        <v>592.72670351079432</v>
      </c>
      <c r="D262" s="6">
        <f t="shared" si="113"/>
        <v>19744.223450359797</v>
      </c>
      <c r="E262" s="6">
        <f t="shared" si="114"/>
        <v>1.3442896945694689</v>
      </c>
      <c r="F262" s="6">
        <f t="shared" si="115"/>
        <v>-0.56112565982451656</v>
      </c>
      <c r="H262" s="6">
        <f t="shared" si="116"/>
        <v>422.41227949809212</v>
      </c>
      <c r="I262" s="6">
        <f t="shared" si="117"/>
        <v>1907.5243068263762</v>
      </c>
      <c r="J262" s="6">
        <f t="shared" si="118"/>
        <v>138.33120814995209</v>
      </c>
      <c r="K262" s="6">
        <f t="shared" si="119"/>
        <v>59.123627770480013</v>
      </c>
      <c r="L262" s="6">
        <f t="shared" si="120"/>
        <v>161.82419192491344</v>
      </c>
      <c r="M262" s="6">
        <f t="shared" si="121"/>
        <v>1684.9063640310915</v>
      </c>
      <c r="O262" s="6">
        <f t="shared" si="122"/>
        <v>9.6570759023924618E-2</v>
      </c>
      <c r="P262" s="6">
        <f t="shared" si="123"/>
        <v>0.43609307566931382</v>
      </c>
      <c r="Q262" s="6">
        <f t="shared" si="124"/>
        <v>3.162490868781128E-2</v>
      </c>
      <c r="R262" s="6">
        <f t="shared" si="125"/>
        <v>1.3516684734703672E-2</v>
      </c>
      <c r="S262" s="6">
        <f t="shared" si="126"/>
        <v>3.6995811440876276E-2</v>
      </c>
      <c r="T262" s="6">
        <f t="shared" si="127"/>
        <v>0.38519876044337026</v>
      </c>
      <c r="V262" s="6">
        <f t="shared" si="128"/>
        <v>16.899882829186808</v>
      </c>
      <c r="W262" s="6">
        <f t="shared" si="129"/>
        <v>76.316288242129914</v>
      </c>
      <c r="X262" s="6">
        <f t="shared" si="130"/>
        <v>5.5343590203669741</v>
      </c>
      <c r="Y262" s="6">
        <f t="shared" si="131"/>
        <v>2.3654198285731427</v>
      </c>
      <c r="Z262" s="6">
        <f t="shared" si="132"/>
        <v>6.4742670021533479</v>
      </c>
      <c r="AA262" s="6">
        <f t="shared" si="133"/>
        <v>67.409783077589793</v>
      </c>
      <c r="AC262" s="14">
        <f t="shared" si="134"/>
        <v>2.2679755890987752E-3</v>
      </c>
      <c r="AD262" s="17"/>
      <c r="AE262" s="15">
        <f t="shared" si="135"/>
        <v>-9.4668530454406581E-4</v>
      </c>
    </row>
    <row r="263" spans="2:31" x14ac:dyDescent="0.2">
      <c r="B263" s="6">
        <f t="shared" si="111"/>
        <v>248</v>
      </c>
      <c r="C263" s="6">
        <f t="shared" si="112"/>
        <v>610.50850461611822</v>
      </c>
      <c r="D263" s="6">
        <f t="shared" si="113"/>
        <v>20336.950153870592</v>
      </c>
      <c r="E263" s="6">
        <f t="shared" si="114"/>
        <v>1.352035011446669</v>
      </c>
      <c r="F263" s="6">
        <f t="shared" si="115"/>
        <v>-0.55954960892127659</v>
      </c>
      <c r="H263" s="6">
        <f t="shared" si="116"/>
        <v>421.6291154633472</v>
      </c>
      <c r="I263" s="6">
        <f t="shared" si="117"/>
        <v>1904.0525634024923</v>
      </c>
      <c r="J263" s="6">
        <f t="shared" si="118"/>
        <v>139.67549784452157</v>
      </c>
      <c r="K263" s="6">
        <f t="shared" si="119"/>
        <v>58.562502110655494</v>
      </c>
      <c r="L263" s="6">
        <f t="shared" si="120"/>
        <v>162.60735595965841</v>
      </c>
      <c r="M263" s="6">
        <f t="shared" si="121"/>
        <v>1684.9063640310915</v>
      </c>
      <c r="O263" s="6">
        <f t="shared" si="122"/>
        <v>9.6450998333396432E-2</v>
      </c>
      <c r="P263" s="6">
        <f t="shared" si="123"/>
        <v>0.4355670988651108</v>
      </c>
      <c r="Q263" s="6">
        <f t="shared" si="124"/>
        <v>3.1951875987059036E-2</v>
      </c>
      <c r="R263" s="6">
        <f t="shared" si="125"/>
        <v>1.3396636015677105E-2</v>
      </c>
      <c r="S263" s="6">
        <f t="shared" si="126"/>
        <v>3.7197720089675382E-2</v>
      </c>
      <c r="T263" s="6">
        <f t="shared" si="127"/>
        <v>0.38543567070908114</v>
      </c>
      <c r="V263" s="6">
        <f t="shared" si="128"/>
        <v>16.878924708344375</v>
      </c>
      <c r="W263" s="6">
        <f t="shared" si="129"/>
        <v>76.224242301394384</v>
      </c>
      <c r="X263" s="6">
        <f t="shared" si="130"/>
        <v>5.5915782977353317</v>
      </c>
      <c r="Y263" s="6">
        <f t="shared" si="131"/>
        <v>2.3444113027434934</v>
      </c>
      <c r="Z263" s="6">
        <f t="shared" si="132"/>
        <v>6.5096010156931916</v>
      </c>
      <c r="AA263" s="6">
        <f t="shared" si="133"/>
        <v>67.451242374089205</v>
      </c>
      <c r="AC263" s="14">
        <f t="shared" si="134"/>
        <v>2.2146047126678694E-3</v>
      </c>
      <c r="AD263" s="17"/>
      <c r="AE263" s="15">
        <f t="shared" si="135"/>
        <v>-9.1653040816051519E-4</v>
      </c>
    </row>
    <row r="264" spans="2:31" x14ac:dyDescent="0.2">
      <c r="B264" s="6">
        <f t="shared" si="111"/>
        <v>249</v>
      </c>
      <c r="C264" s="6">
        <f t="shared" si="112"/>
        <v>628.82375975460172</v>
      </c>
      <c r="D264" s="6">
        <f t="shared" si="113"/>
        <v>20947.45865848671</v>
      </c>
      <c r="E264" s="6">
        <f t="shared" si="114"/>
        <v>1.3593269252033697</v>
      </c>
      <c r="F264" s="6">
        <f t="shared" si="115"/>
        <v>-0.55772885834259267</v>
      </c>
      <c r="H264" s="6">
        <f t="shared" si="116"/>
        <v>420.83663006082179</v>
      </c>
      <c r="I264" s="6">
        <f t="shared" si="117"/>
        <v>1900.5560079770737</v>
      </c>
      <c r="J264" s="6">
        <f t="shared" si="118"/>
        <v>141.02753285596825</v>
      </c>
      <c r="K264" s="6">
        <f t="shared" si="119"/>
        <v>58.002952501734214</v>
      </c>
      <c r="L264" s="6">
        <f t="shared" si="120"/>
        <v>163.39984136218379</v>
      </c>
      <c r="M264" s="6">
        <f t="shared" si="121"/>
        <v>1684.9063640310915</v>
      </c>
      <c r="O264" s="6">
        <f t="shared" si="122"/>
        <v>9.6329298152579471E-2</v>
      </c>
      <c r="P264" s="6">
        <f t="shared" si="123"/>
        <v>0.43503633778656592</v>
      </c>
      <c r="Q264" s="6">
        <f t="shared" si="124"/>
        <v>3.2281133080649053E-2</v>
      </c>
      <c r="R264" s="6">
        <f t="shared" si="125"/>
        <v>1.3276847370586395E-2</v>
      </c>
      <c r="S264" s="6">
        <f t="shared" si="126"/>
        <v>3.7402143521554021E-2</v>
      </c>
      <c r="T264" s="6">
        <f t="shared" si="127"/>
        <v>0.38567424008806511</v>
      </c>
      <c r="V264" s="6">
        <f t="shared" si="128"/>
        <v>16.857627176701406</v>
      </c>
      <c r="W264" s="6">
        <f t="shared" si="129"/>
        <v>76.131359112649037</v>
      </c>
      <c r="X264" s="6">
        <f t="shared" si="130"/>
        <v>5.6491982891135848</v>
      </c>
      <c r="Y264" s="6">
        <f t="shared" si="131"/>
        <v>2.3234482898526192</v>
      </c>
      <c r="Z264" s="6">
        <f t="shared" si="132"/>
        <v>6.5453751162719538</v>
      </c>
      <c r="AA264" s="6">
        <f t="shared" si="133"/>
        <v>67.492992015411389</v>
      </c>
      <c r="AC264" s="14">
        <f t="shared" si="134"/>
        <v>2.1616977795715711E-3</v>
      </c>
      <c r="AD264" s="17"/>
      <c r="AE264" s="15">
        <f t="shared" si="135"/>
        <v>-8.8693986143310833E-4</v>
      </c>
    </row>
    <row r="265" spans="2:31" x14ac:dyDescent="0.2">
      <c r="B265" s="6">
        <f t="shared" si="111"/>
        <v>250</v>
      </c>
      <c r="C265" s="6">
        <f t="shared" si="112"/>
        <v>647.68847254723983</v>
      </c>
      <c r="D265" s="6">
        <f t="shared" si="113"/>
        <v>21576.282418241313</v>
      </c>
      <c r="E265" s="6">
        <f t="shared" si="114"/>
        <v>1.3661565552756538</v>
      </c>
      <c r="F265" s="6">
        <f t="shared" si="115"/>
        <v>-0.55566750070148063</v>
      </c>
      <c r="H265" s="6">
        <f t="shared" si="116"/>
        <v>420.03503199396101</v>
      </c>
      <c r="I265" s="6">
        <f t="shared" si="117"/>
        <v>1897.0357560598063</v>
      </c>
      <c r="J265" s="6">
        <f t="shared" si="118"/>
        <v>142.38685978117161</v>
      </c>
      <c r="K265" s="6">
        <f t="shared" si="119"/>
        <v>57.445223643391621</v>
      </c>
      <c r="L265" s="6">
        <f t="shared" si="120"/>
        <v>164.20143942904457</v>
      </c>
      <c r="M265" s="6">
        <f t="shared" si="121"/>
        <v>1684.9063640310915</v>
      </c>
      <c r="O265" s="6">
        <f t="shared" si="122"/>
        <v>9.6205681402710005E-2</v>
      </c>
      <c r="P265" s="6">
        <f t="shared" si="123"/>
        <v>0.43450094314910087</v>
      </c>
      <c r="Q265" s="6">
        <f t="shared" si="124"/>
        <v>3.2612577105798846E-2</v>
      </c>
      <c r="R265" s="6">
        <f t="shared" si="125"/>
        <v>1.3157371321406867E-2</v>
      </c>
      <c r="S265" s="6">
        <f t="shared" si="126"/>
        <v>3.7609032971812138E-2</v>
      </c>
      <c r="T265" s="6">
        <f t="shared" si="127"/>
        <v>0.38591439404917122</v>
      </c>
      <c r="V265" s="6">
        <f t="shared" si="128"/>
        <v>16.83599424547425</v>
      </c>
      <c r="W265" s="6">
        <f t="shared" si="129"/>
        <v>76.037665051092659</v>
      </c>
      <c r="X265" s="6">
        <f t="shared" si="130"/>
        <v>5.7072009935147978</v>
      </c>
      <c r="Y265" s="6">
        <f t="shared" si="131"/>
        <v>2.302539981246202</v>
      </c>
      <c r="Z265" s="6">
        <f t="shared" si="132"/>
        <v>6.5815807700671245</v>
      </c>
      <c r="AA265" s="6">
        <f t="shared" si="133"/>
        <v>67.535018958604965</v>
      </c>
      <c r="AC265" s="14">
        <f t="shared" si="134"/>
        <v>2.1092803302532326E-3</v>
      </c>
      <c r="AD265" s="17"/>
      <c r="AE265" s="15">
        <f t="shared" si="135"/>
        <v>-8.5792402405456187E-4</v>
      </c>
    </row>
    <row r="266" spans="2:31" x14ac:dyDescent="0.2">
      <c r="B266" s="6">
        <f t="shared" si="111"/>
        <v>251</v>
      </c>
      <c r="C266" s="6">
        <f t="shared" si="112"/>
        <v>667.11912672365702</v>
      </c>
      <c r="D266" s="6">
        <f t="shared" si="113"/>
        <v>22223.970890788554</v>
      </c>
      <c r="E266" s="6">
        <f t="shared" si="114"/>
        <v>1.3725155139256449</v>
      </c>
      <c r="F266" s="6">
        <f t="shared" si="115"/>
        <v>-0.55336993297689219</v>
      </c>
      <c r="H266" s="6">
        <f t="shared" si="116"/>
        <v>419.22454293938682</v>
      </c>
      <c r="I266" s="6">
        <f t="shared" si="117"/>
        <v>1893.4929538946808</v>
      </c>
      <c r="J266" s="6">
        <f t="shared" si="118"/>
        <v>143.75301633644727</v>
      </c>
      <c r="K266" s="6">
        <f t="shared" si="119"/>
        <v>56.889556142690139</v>
      </c>
      <c r="L266" s="6">
        <f t="shared" si="120"/>
        <v>165.01192848361876</v>
      </c>
      <c r="M266" s="6">
        <f t="shared" si="121"/>
        <v>1684.9063640310915</v>
      </c>
      <c r="O266" s="6">
        <f t="shared" si="122"/>
        <v>9.6080173707679836E-2</v>
      </c>
      <c r="P266" s="6">
        <f t="shared" si="123"/>
        <v>0.43396107167030173</v>
      </c>
      <c r="Q266" s="6">
        <f t="shared" si="124"/>
        <v>3.2946102543919428E-2</v>
      </c>
      <c r="R266" s="6">
        <f t="shared" si="125"/>
        <v>1.303825963532093E-2</v>
      </c>
      <c r="S266" s="6">
        <f t="shared" si="126"/>
        <v>3.7818336305843671E-2</v>
      </c>
      <c r="T266" s="6">
        <f t="shared" si="127"/>
        <v>0.38615605613693438</v>
      </c>
      <c r="V266" s="6">
        <f t="shared" si="128"/>
        <v>16.814030398843972</v>
      </c>
      <c r="W266" s="6">
        <f t="shared" si="129"/>
        <v>75.943187542302809</v>
      </c>
      <c r="X266" s="6">
        <f t="shared" si="130"/>
        <v>5.7655679451859001</v>
      </c>
      <c r="Y266" s="6">
        <f t="shared" si="131"/>
        <v>2.2816954361811628</v>
      </c>
      <c r="Z266" s="6">
        <f t="shared" si="132"/>
        <v>6.618208853522642</v>
      </c>
      <c r="AA266" s="6">
        <f t="shared" si="133"/>
        <v>67.577309823963517</v>
      </c>
      <c r="AC266" s="14">
        <f t="shared" si="134"/>
        <v>2.0573769495507007E-3</v>
      </c>
      <c r="AD266" s="17"/>
      <c r="AE266" s="15">
        <f t="shared" si="135"/>
        <v>-8.294919315154285E-4</v>
      </c>
    </row>
    <row r="267" spans="2:31" x14ac:dyDescent="0.2">
      <c r="B267" s="6">
        <f t="shared" si="111"/>
        <v>252</v>
      </c>
      <c r="C267" s="6">
        <f t="shared" si="112"/>
        <v>687.13270052536677</v>
      </c>
      <c r="D267" s="6">
        <f t="shared" si="113"/>
        <v>22891.090017512211</v>
      </c>
      <c r="E267" s="6">
        <f t="shared" si="114"/>
        <v>1.3783959055310204</v>
      </c>
      <c r="F267" s="6">
        <f t="shared" si="115"/>
        <v>-0.55084084906714958</v>
      </c>
      <c r="H267" s="6">
        <f t="shared" si="116"/>
        <v>418.40539735843811</v>
      </c>
      <c r="I267" s="6">
        <f t="shared" si="117"/>
        <v>1889.9287772858809</v>
      </c>
      <c r="J267" s="6">
        <f t="shared" si="118"/>
        <v>145.12553185037291</v>
      </c>
      <c r="K267" s="6">
        <f t="shared" si="119"/>
        <v>56.336186209713247</v>
      </c>
      <c r="L267" s="6">
        <f t="shared" si="120"/>
        <v>165.8310740645675</v>
      </c>
      <c r="M267" s="6">
        <f t="shared" si="121"/>
        <v>1684.9063640310915</v>
      </c>
      <c r="O267" s="6">
        <f t="shared" si="122"/>
        <v>9.5952803388311608E-2</v>
      </c>
      <c r="P267" s="6">
        <f t="shared" si="123"/>
        <v>0.43341688594296779</v>
      </c>
      <c r="Q267" s="6">
        <f t="shared" si="124"/>
        <v>3.3281601318191391E-2</v>
      </c>
      <c r="R267" s="6">
        <f t="shared" si="125"/>
        <v>1.2919563258877043E-2</v>
      </c>
      <c r="S267" s="6">
        <f t="shared" si="126"/>
        <v>3.8029998049376464E-2</v>
      </c>
      <c r="T267" s="6">
        <f t="shared" si="127"/>
        <v>0.38639914804227565</v>
      </c>
      <c r="V267" s="6">
        <f t="shared" si="128"/>
        <v>16.791740592954532</v>
      </c>
      <c r="W267" s="6">
        <f t="shared" si="129"/>
        <v>75.847955040019357</v>
      </c>
      <c r="X267" s="6">
        <f t="shared" si="130"/>
        <v>5.8242802306834935</v>
      </c>
      <c r="Y267" s="6">
        <f t="shared" si="131"/>
        <v>2.2609235703034827</v>
      </c>
      <c r="Z267" s="6">
        <f t="shared" si="132"/>
        <v>6.6552496586408809</v>
      </c>
      <c r="AA267" s="6">
        <f t="shared" si="133"/>
        <v>67.619850907398245</v>
      </c>
      <c r="AC267" s="14">
        <f t="shared" si="134"/>
        <v>2.0060112180327449E-3</v>
      </c>
      <c r="AD267" s="17"/>
      <c r="AE267" s="15">
        <f t="shared" si="135"/>
        <v>-8.0165133844741865E-4</v>
      </c>
    </row>
    <row r="268" spans="2:31" x14ac:dyDescent="0.2">
      <c r="B268" s="6">
        <f t="shared" si="111"/>
        <v>253</v>
      </c>
      <c r="C268" s="6">
        <f t="shared" si="112"/>
        <v>707.74668154112783</v>
      </c>
      <c r="D268" s="6">
        <f t="shared" si="113"/>
        <v>23578.222718037578</v>
      </c>
      <c r="E268" s="6">
        <f t="shared" si="114"/>
        <v>1.3837903242598919</v>
      </c>
      <c r="F268" s="6">
        <f t="shared" si="115"/>
        <v>-0.5480852275489364</v>
      </c>
      <c r="H268" s="6">
        <f t="shared" si="116"/>
        <v>417.57784230197421</v>
      </c>
      <c r="I268" s="6">
        <f t="shared" si="117"/>
        <v>1886.3444304183549</v>
      </c>
      <c r="J268" s="6">
        <f t="shared" si="118"/>
        <v>146.50392775590393</v>
      </c>
      <c r="K268" s="6">
        <f t="shared" si="119"/>
        <v>55.785345360646097</v>
      </c>
      <c r="L268" s="6">
        <f t="shared" si="120"/>
        <v>166.65862912103137</v>
      </c>
      <c r="M268" s="6">
        <f t="shared" si="121"/>
        <v>1684.9063640310915</v>
      </c>
      <c r="O268" s="6">
        <f t="shared" si="122"/>
        <v>9.5823601454986862E-2</v>
      </c>
      <c r="P268" s="6">
        <f t="shared" si="123"/>
        <v>0.43286855430544491</v>
      </c>
      <c r="Q268" s="6">
        <f t="shared" si="124"/>
        <v>3.3618962892001024E-2</v>
      </c>
      <c r="R268" s="6">
        <f t="shared" si="125"/>
        <v>1.2801332253165099E-2</v>
      </c>
      <c r="S268" s="6">
        <f t="shared" si="126"/>
        <v>3.8243959420575499E-2</v>
      </c>
      <c r="T268" s="6">
        <f t="shared" si="127"/>
        <v>0.38664358967382645</v>
      </c>
      <c r="V268" s="6">
        <f t="shared" si="128"/>
        <v>16.769130254622702</v>
      </c>
      <c r="W268" s="6">
        <f t="shared" si="129"/>
        <v>75.751997003452857</v>
      </c>
      <c r="X268" s="6">
        <f t="shared" si="130"/>
        <v>5.8833185061001796</v>
      </c>
      <c r="Y268" s="6">
        <f t="shared" si="131"/>
        <v>2.2402331443038923</v>
      </c>
      <c r="Z268" s="6">
        <f t="shared" si="132"/>
        <v>6.6926928986007121</v>
      </c>
      <c r="AA268" s="6">
        <f t="shared" si="133"/>
        <v>67.662628192919627</v>
      </c>
      <c r="AC268" s="14">
        <f t="shared" si="134"/>
        <v>1.95520566941645E-3</v>
      </c>
      <c r="AD268" s="17"/>
      <c r="AE268" s="15">
        <f t="shared" si="135"/>
        <v>-7.7440875647127524E-4</v>
      </c>
    </row>
    <row r="269" spans="2:31" x14ac:dyDescent="0.2">
      <c r="B269" s="6">
        <f t="shared" si="111"/>
        <v>254</v>
      </c>
      <c r="C269" s="6">
        <f t="shared" si="112"/>
        <v>728.97908198736172</v>
      </c>
      <c r="D269" s="6">
        <f t="shared" si="113"/>
        <v>24285.969399578706</v>
      </c>
      <c r="E269" s="6">
        <f t="shared" si="114"/>
        <v>1.3886918501237029</v>
      </c>
      <c r="F269" s="6">
        <f t="shared" si="115"/>
        <v>-0.54510831552728423</v>
      </c>
      <c r="H269" s="6">
        <f t="shared" si="116"/>
        <v>416.74213720526325</v>
      </c>
      <c r="I269" s="6">
        <f t="shared" si="117"/>
        <v>1882.7411446731242</v>
      </c>
      <c r="J269" s="6">
        <f t="shared" si="118"/>
        <v>147.88771808016384</v>
      </c>
      <c r="K269" s="6">
        <f t="shared" si="119"/>
        <v>55.237260133097159</v>
      </c>
      <c r="L269" s="6">
        <f t="shared" si="120"/>
        <v>167.49433421774233</v>
      </c>
      <c r="M269" s="6">
        <f t="shared" si="121"/>
        <v>1684.9063640310915</v>
      </c>
      <c r="O269" s="6">
        <f t="shared" si="122"/>
        <v>9.5692601597785643E-2</v>
      </c>
      <c r="P269" s="6">
        <f t="shared" si="123"/>
        <v>0.4323162507088299</v>
      </c>
      <c r="Q269" s="6">
        <f t="shared" si="124"/>
        <v>3.395807436789243E-2</v>
      </c>
      <c r="R269" s="6">
        <f t="shared" si="125"/>
        <v>1.2683615731101926E-2</v>
      </c>
      <c r="S269" s="6">
        <f t="shared" si="126"/>
        <v>3.8460158364764338E-2</v>
      </c>
      <c r="T269" s="6">
        <f t="shared" si="127"/>
        <v>0.38688929922962573</v>
      </c>
      <c r="V269" s="6">
        <f t="shared" si="128"/>
        <v>16.746205279612486</v>
      </c>
      <c r="W269" s="6">
        <f t="shared" si="129"/>
        <v>75.655343874045229</v>
      </c>
      <c r="X269" s="6">
        <f t="shared" si="130"/>
        <v>5.9426630143811749</v>
      </c>
      <c r="Y269" s="6">
        <f t="shared" si="131"/>
        <v>2.2196327529428372</v>
      </c>
      <c r="Z269" s="6">
        <f t="shared" si="132"/>
        <v>6.7305277138337596</v>
      </c>
      <c r="AA269" s="6">
        <f t="shared" si="133"/>
        <v>67.705627365184498</v>
      </c>
      <c r="AC269" s="14">
        <f t="shared" si="134"/>
        <v>1.9049817538492532E-3</v>
      </c>
      <c r="AD269" s="17"/>
      <c r="AE269" s="15">
        <f t="shared" si="135"/>
        <v>-7.4776948885994885E-4</v>
      </c>
    </row>
    <row r="270" spans="2:31" x14ac:dyDescent="0.2">
      <c r="B270" s="6">
        <f t="shared" si="111"/>
        <v>255</v>
      </c>
      <c r="C270" s="6">
        <f t="shared" si="112"/>
        <v>750.8484544469826</v>
      </c>
      <c r="D270" s="6">
        <f t="shared" si="113"/>
        <v>25014.948481566069</v>
      </c>
      <c r="E270" s="6">
        <f t="shared" si="114"/>
        <v>1.3930940434343939</v>
      </c>
      <c r="F270" s="6">
        <f t="shared" si="115"/>
        <v>-0.54191560939712147</v>
      </c>
      <c r="H270" s="6">
        <f t="shared" si="116"/>
        <v>415.89855367066684</v>
      </c>
      <c r="I270" s="6">
        <f t="shared" si="117"/>
        <v>1879.1201774382805</v>
      </c>
      <c r="J270" s="6">
        <f t="shared" si="118"/>
        <v>149.27640993028754</v>
      </c>
      <c r="K270" s="6">
        <f t="shared" si="119"/>
        <v>54.692151817569872</v>
      </c>
      <c r="L270" s="6">
        <f t="shared" si="120"/>
        <v>168.33791775233877</v>
      </c>
      <c r="M270" s="6">
        <f t="shared" si="121"/>
        <v>1684.9063640310915</v>
      </c>
      <c r="O270" s="6">
        <f t="shared" si="122"/>
        <v>9.555984017349671E-2</v>
      </c>
      <c r="P270" s="6">
        <f t="shared" si="123"/>
        <v>0.43176015458083994</v>
      </c>
      <c r="Q270" s="6">
        <f t="shared" si="124"/>
        <v>3.4298820586684209E-2</v>
      </c>
      <c r="R270" s="6">
        <f t="shared" si="125"/>
        <v>1.2566461797725191E-2</v>
      </c>
      <c r="S270" s="6">
        <f t="shared" si="126"/>
        <v>3.8678529592317004E-2</v>
      </c>
      <c r="T270" s="6">
        <f t="shared" si="127"/>
        <v>0.38713619326893683</v>
      </c>
      <c r="V270" s="6">
        <f t="shared" si="128"/>
        <v>16.722972030361923</v>
      </c>
      <c r="W270" s="6">
        <f t="shared" si="129"/>
        <v>75.558027051646988</v>
      </c>
      <c r="X270" s="6">
        <f t="shared" si="130"/>
        <v>6.0022936026697362</v>
      </c>
      <c r="Y270" s="6">
        <f t="shared" si="131"/>
        <v>2.1991308146019084</v>
      </c>
      <c r="Z270" s="6">
        <f t="shared" si="132"/>
        <v>6.7687426786554754</v>
      </c>
      <c r="AA270" s="6">
        <f t="shared" si="133"/>
        <v>67.748833822063943</v>
      </c>
      <c r="AC270" s="14">
        <f t="shared" si="134"/>
        <v>1.8553598068739984E-3</v>
      </c>
      <c r="AD270" s="17"/>
      <c r="AE270" s="15">
        <f t="shared" si="135"/>
        <v>-7.2173766382226221E-4</v>
      </c>
    </row>
    <row r="271" spans="2:31" x14ac:dyDescent="0.2">
      <c r="B271" s="6">
        <f t="shared" si="111"/>
        <v>256</v>
      </c>
      <c r="C271" s="6">
        <f t="shared" si="112"/>
        <v>773.37390808039208</v>
      </c>
      <c r="D271" s="6">
        <f t="shared" si="113"/>
        <v>25765.796936013052</v>
      </c>
      <c r="E271" s="6">
        <f t="shared" si="114"/>
        <v>1.3969909377236596</v>
      </c>
      <c r="F271" s="6">
        <f t="shared" si="115"/>
        <v>-0.53851283325841359</v>
      </c>
      <c r="H271" s="6">
        <f t="shared" si="116"/>
        <v>415.04737523662953</v>
      </c>
      <c r="I271" s="6">
        <f t="shared" si="117"/>
        <v>1875.4828109173745</v>
      </c>
      <c r="J271" s="6">
        <f t="shared" si="118"/>
        <v>150.66950397372193</v>
      </c>
      <c r="K271" s="6">
        <f t="shared" si="119"/>
        <v>54.15023620817275</v>
      </c>
      <c r="L271" s="6">
        <f t="shared" si="120"/>
        <v>169.18909618637605</v>
      </c>
      <c r="M271" s="6">
        <f t="shared" si="121"/>
        <v>1684.9063640310915</v>
      </c>
      <c r="O271" s="6">
        <f t="shared" si="122"/>
        <v>9.5425356189039481E-2</v>
      </c>
      <c r="P271" s="6">
        <f t="shared" si="123"/>
        <v>0.43120045068632629</v>
      </c>
      <c r="Q271" s="6">
        <f t="shared" si="124"/>
        <v>3.4641084226399964E-2</v>
      </c>
      <c r="R271" s="6">
        <f t="shared" si="125"/>
        <v>1.2449917494212532E-2</v>
      </c>
      <c r="S271" s="6">
        <f t="shared" si="126"/>
        <v>3.8899004620091722E-2</v>
      </c>
      <c r="T271" s="6">
        <f t="shared" si="127"/>
        <v>0.38738418678392983</v>
      </c>
      <c r="V271" s="6">
        <f t="shared" si="128"/>
        <v>16.69943733308191</v>
      </c>
      <c r="W271" s="6">
        <f t="shared" si="129"/>
        <v>75.460078870107097</v>
      </c>
      <c r="X271" s="6">
        <f t="shared" si="130"/>
        <v>6.0621897396199937</v>
      </c>
      <c r="Y271" s="6">
        <f t="shared" si="131"/>
        <v>2.1787355614871928</v>
      </c>
      <c r="Z271" s="6">
        <f t="shared" si="132"/>
        <v>6.8073258085160511</v>
      </c>
      <c r="AA271" s="6">
        <f t="shared" si="133"/>
        <v>67.79223268718772</v>
      </c>
      <c r="AC271" s="14">
        <f t="shared" si="134"/>
        <v>1.8063590239178881E-3</v>
      </c>
      <c r="AD271" s="17"/>
      <c r="AE271" s="15">
        <f t="shared" si="135"/>
        <v>-6.9631626776117618E-4</v>
      </c>
    </row>
    <row r="272" spans="2:31" x14ac:dyDescent="0.2">
      <c r="B272" s="6">
        <f t="shared" si="111"/>
        <v>257</v>
      </c>
      <c r="C272" s="6">
        <f t="shared" si="112"/>
        <v>796.57512532280384</v>
      </c>
      <c r="D272" s="6">
        <f t="shared" si="113"/>
        <v>26539.170844093445</v>
      </c>
      <c r="E272" s="6">
        <f t="shared" si="114"/>
        <v>1.4003770312107719</v>
      </c>
      <c r="F272" s="6">
        <f t="shared" si="115"/>
        <v>-0.53490591564168644</v>
      </c>
      <c r="H272" s="6">
        <f t="shared" si="116"/>
        <v>414.1888971321643</v>
      </c>
      <c r="I272" s="6">
        <f t="shared" si="117"/>
        <v>1871.8303509374621</v>
      </c>
      <c r="J272" s="6">
        <f t="shared" si="118"/>
        <v>152.0664949114456</v>
      </c>
      <c r="K272" s="6">
        <f t="shared" si="119"/>
        <v>53.611723374914334</v>
      </c>
      <c r="L272" s="6">
        <f t="shared" si="120"/>
        <v>170.04757429084131</v>
      </c>
      <c r="M272" s="6">
        <f t="shared" si="121"/>
        <v>1684.9063640310915</v>
      </c>
      <c r="O272" s="6">
        <f t="shared" si="122"/>
        <v>9.5289191280996027E-2</v>
      </c>
      <c r="P272" s="6">
        <f t="shared" si="123"/>
        <v>0.4306373289845547</v>
      </c>
      <c r="Q272" s="6">
        <f t="shared" si="124"/>
        <v>3.4984745900669599E-2</v>
      </c>
      <c r="R272" s="6">
        <f t="shared" si="125"/>
        <v>1.2334028746178435E-2</v>
      </c>
      <c r="S272" s="6">
        <f t="shared" si="126"/>
        <v>3.9121511816621421E-2</v>
      </c>
      <c r="T272" s="6">
        <f t="shared" si="127"/>
        <v>0.38763319327097973</v>
      </c>
      <c r="V272" s="6">
        <f t="shared" si="128"/>
        <v>16.675608474174304</v>
      </c>
      <c r="W272" s="6">
        <f t="shared" si="129"/>
        <v>75.361532572297079</v>
      </c>
      <c r="X272" s="6">
        <f t="shared" si="130"/>
        <v>6.1223305326171795</v>
      </c>
      <c r="Y272" s="6">
        <f t="shared" si="131"/>
        <v>2.158455030581226</v>
      </c>
      <c r="Z272" s="6">
        <f t="shared" si="132"/>
        <v>6.846264567908749</v>
      </c>
      <c r="AA272" s="6">
        <f t="shared" si="133"/>
        <v>67.835808822421455</v>
      </c>
      <c r="AC272" s="14">
        <f t="shared" si="134"/>
        <v>1.7579974401576795E-3</v>
      </c>
      <c r="AD272" s="17"/>
      <c r="AE272" s="15">
        <f t="shared" si="135"/>
        <v>-6.715071794702619E-4</v>
      </c>
    </row>
    <row r="273" spans="2:31" x14ac:dyDescent="0.2">
      <c r="B273" s="6">
        <f t="shared" si="111"/>
        <v>258</v>
      </c>
      <c r="C273" s="6">
        <f t="shared" si="112"/>
        <v>820.47237908248803</v>
      </c>
      <c r="D273" s="6">
        <f t="shared" si="113"/>
        <v>27335.74596941625</v>
      </c>
      <c r="E273" s="6">
        <f t="shared" si="114"/>
        <v>1.403247276930685</v>
      </c>
      <c r="F273" s="6">
        <f t="shared" si="115"/>
        <v>-0.53110096511557159</v>
      </c>
      <c r="H273" s="6">
        <f t="shared" si="116"/>
        <v>413.32342601659519</v>
      </c>
      <c r="I273" s="6">
        <f t="shared" si="117"/>
        <v>1868.1641257594715</v>
      </c>
      <c r="J273" s="6">
        <f t="shared" si="118"/>
        <v>153.46687194265638</v>
      </c>
      <c r="K273" s="6">
        <f t="shared" si="119"/>
        <v>53.076817459272647</v>
      </c>
      <c r="L273" s="6">
        <f t="shared" si="120"/>
        <v>170.91304540641042</v>
      </c>
      <c r="M273" s="6">
        <f t="shared" si="121"/>
        <v>1684.9063640310915</v>
      </c>
      <c r="O273" s="6">
        <f t="shared" si="122"/>
        <v>9.5151389691086594E-2</v>
      </c>
      <c r="P273" s="6">
        <f t="shared" si="123"/>
        <v>0.43007098448349368</v>
      </c>
      <c r="Q273" s="6">
        <f t="shared" si="124"/>
        <v>3.5329684256274113E-2</v>
      </c>
      <c r="R273" s="6">
        <f t="shared" si="125"/>
        <v>1.2218840316655911E-2</v>
      </c>
      <c r="S273" s="6">
        <f t="shared" si="126"/>
        <v>3.9345976451145501E-2</v>
      </c>
      <c r="T273" s="6">
        <f t="shared" si="127"/>
        <v>0.38788312480134429</v>
      </c>
      <c r="V273" s="6">
        <f t="shared" si="128"/>
        <v>16.651493195940155</v>
      </c>
      <c r="W273" s="6">
        <f t="shared" si="129"/>
        <v>75.26242228461139</v>
      </c>
      <c r="X273" s="6">
        <f t="shared" si="130"/>
        <v>6.1826947448479697</v>
      </c>
      <c r="Y273" s="6">
        <f t="shared" si="131"/>
        <v>2.1382970554147844</v>
      </c>
      <c r="Z273" s="6">
        <f t="shared" si="132"/>
        <v>6.8855458789504622</v>
      </c>
      <c r="AA273" s="6">
        <f t="shared" si="133"/>
        <v>67.87954684023525</v>
      </c>
      <c r="AC273" s="14">
        <f t="shared" si="134"/>
        <v>1.7102919156156094E-3</v>
      </c>
      <c r="AD273" s="17"/>
      <c r="AE273" s="15">
        <f t="shared" si="135"/>
        <v>-6.4731120590492931E-4</v>
      </c>
    </row>
    <row r="274" spans="2:31" x14ac:dyDescent="0.2">
      <c r="B274" s="6">
        <f t="shared" ref="B274:B315" si="136">B273+1</f>
        <v>259</v>
      </c>
      <c r="C274" s="6">
        <f t="shared" si="112"/>
        <v>845.08655045496266</v>
      </c>
      <c r="D274" s="6">
        <f t="shared" si="113"/>
        <v>28156.218348498736</v>
      </c>
      <c r="E274" s="6">
        <f t="shared" si="114"/>
        <v>1.4055970716557196</v>
      </c>
      <c r="F274" s="6">
        <f t="shared" si="115"/>
        <v>-0.52710424526520783</v>
      </c>
      <c r="H274" s="6">
        <f t="shared" si="116"/>
        <v>412.45127970478006</v>
      </c>
      <c r="I274" s="6">
        <f t="shared" si="117"/>
        <v>1864.485484893795</v>
      </c>
      <c r="J274" s="6">
        <f t="shared" si="118"/>
        <v>154.87011921958708</v>
      </c>
      <c r="K274" s="6">
        <f t="shared" si="119"/>
        <v>52.545716494157077</v>
      </c>
      <c r="L274" s="6">
        <f t="shared" si="120"/>
        <v>171.78519171822552</v>
      </c>
      <c r="M274" s="6">
        <f t="shared" si="121"/>
        <v>1684.9063640310915</v>
      </c>
      <c r="O274" s="6">
        <f t="shared" si="122"/>
        <v>9.5011998237532758E-2</v>
      </c>
      <c r="P274" s="6">
        <f t="shared" si="123"/>
        <v>0.42950161709143464</v>
      </c>
      <c r="Q274" s="6">
        <f t="shared" si="124"/>
        <v>3.5675776069527765E-2</v>
      </c>
      <c r="R274" s="6">
        <f t="shared" si="125"/>
        <v>1.2104395764043227E-2</v>
      </c>
      <c r="S274" s="6">
        <f t="shared" si="126"/>
        <v>3.9572320746461997E-2</v>
      </c>
      <c r="T274" s="6">
        <f t="shared" si="127"/>
        <v>0.38813389209099958</v>
      </c>
      <c r="V274" s="6">
        <f t="shared" si="128"/>
        <v>16.627099691568233</v>
      </c>
      <c r="W274" s="6">
        <f t="shared" si="129"/>
        <v>75.162782991001066</v>
      </c>
      <c r="X274" s="6">
        <f t="shared" si="130"/>
        <v>6.2432608121673585</v>
      </c>
      <c r="Y274" s="6">
        <f t="shared" si="131"/>
        <v>2.1182692587075649</v>
      </c>
      <c r="Z274" s="6">
        <f t="shared" si="132"/>
        <v>6.9251561306308496</v>
      </c>
      <c r="AA274" s="6">
        <f t="shared" si="133"/>
        <v>67.923431115924927</v>
      </c>
      <c r="AC274" s="14">
        <f t="shared" si="134"/>
        <v>1.6632581253352089E-3</v>
      </c>
      <c r="AD274" s="17"/>
      <c r="AE274" s="15">
        <f t="shared" si="135"/>
        <v>-6.2372811989663639E-4</v>
      </c>
    </row>
    <row r="275" spans="2:31" x14ac:dyDescent="0.2">
      <c r="B275" s="6">
        <f t="shared" si="136"/>
        <v>260</v>
      </c>
      <c r="C275" s="6">
        <f t="shared" si="112"/>
        <v>870.43914696861157</v>
      </c>
      <c r="D275" s="6">
        <f t="shared" si="113"/>
        <v>29001.304898953698</v>
      </c>
      <c r="E275" s="6">
        <f t="shared" si="114"/>
        <v>1.4074222437619031</v>
      </c>
      <c r="F275" s="6">
        <f t="shared" si="115"/>
        <v>-0.52292214945427029</v>
      </c>
      <c r="H275" s="6">
        <f t="shared" si="116"/>
        <v>411.57278687838954</v>
      </c>
      <c r="I275" s="6">
        <f t="shared" si="117"/>
        <v>1860.7957979240932</v>
      </c>
      <c r="J275" s="6">
        <f t="shared" si="118"/>
        <v>156.27571629124279</v>
      </c>
      <c r="K275" s="6">
        <f t="shared" si="119"/>
        <v>52.01861224889187</v>
      </c>
      <c r="L275" s="6">
        <f t="shared" si="120"/>
        <v>172.66368454461602</v>
      </c>
      <c r="M275" s="6">
        <f t="shared" si="121"/>
        <v>1684.9063640310915</v>
      </c>
      <c r="O275" s="6">
        <f t="shared" si="122"/>
        <v>9.4871066282340918E-2</v>
      </c>
      <c r="P275" s="6">
        <f t="shared" si="123"/>
        <v>0.42892943146632384</v>
      </c>
      <c r="Q275" s="6">
        <f t="shared" si="124"/>
        <v>3.6022896341218885E-2</v>
      </c>
      <c r="R275" s="6">
        <f t="shared" si="125"/>
        <v>1.1990737405187605E-2</v>
      </c>
      <c r="S275" s="6">
        <f t="shared" si="126"/>
        <v>3.9800463935497327E-2</v>
      </c>
      <c r="T275" s="6">
        <f t="shared" si="127"/>
        <v>0.38838540456943144</v>
      </c>
      <c r="V275" s="6">
        <f t="shared" si="128"/>
        <v>16.602436599409661</v>
      </c>
      <c r="W275" s="6">
        <f t="shared" si="129"/>
        <v>75.062650506606673</v>
      </c>
      <c r="X275" s="6">
        <f t="shared" si="130"/>
        <v>6.3040068597133052</v>
      </c>
      <c r="Y275" s="6">
        <f t="shared" si="131"/>
        <v>2.0983790459078309</v>
      </c>
      <c r="Z275" s="6">
        <f t="shared" si="132"/>
        <v>6.9650811887120323</v>
      </c>
      <c r="AA275" s="6">
        <f t="shared" si="133"/>
        <v>67.967445799650505</v>
      </c>
      <c r="AC275" s="14">
        <f t="shared" si="134"/>
        <v>1.6169105544751601E-3</v>
      </c>
      <c r="AD275" s="17"/>
      <c r="AE275" s="15">
        <f t="shared" si="135"/>
        <v>-6.0075669996621501E-4</v>
      </c>
    </row>
    <row r="276" spans="2:31" x14ac:dyDescent="0.2">
      <c r="B276" s="6">
        <f t="shared" si="136"/>
        <v>261</v>
      </c>
      <c r="C276" s="6">
        <f t="shared" si="112"/>
        <v>896.55232137766995</v>
      </c>
      <c r="D276" s="6">
        <f t="shared" si="113"/>
        <v>29871.744045922311</v>
      </c>
      <c r="E276" s="6">
        <f t="shared" si="114"/>
        <v>1.4087190402051568</v>
      </c>
      <c r="F276" s="6">
        <f t="shared" si="115"/>
        <v>-0.51856117571528215</v>
      </c>
      <c r="H276" s="6">
        <f t="shared" si="116"/>
        <v>410.68828678408187</v>
      </c>
      <c r="I276" s="6">
        <f t="shared" si="117"/>
        <v>1857.0964533422616</v>
      </c>
      <c r="J276" s="6">
        <f t="shared" si="118"/>
        <v>157.6831385350047</v>
      </c>
      <c r="K276" s="6">
        <f t="shared" si="119"/>
        <v>51.495690099437603</v>
      </c>
      <c r="L276" s="6">
        <f t="shared" si="120"/>
        <v>173.54818463892366</v>
      </c>
      <c r="M276" s="6">
        <f t="shared" si="121"/>
        <v>1684.9063640310915</v>
      </c>
      <c r="O276" s="6">
        <f t="shared" si="122"/>
        <v>9.4728645694606886E-2</v>
      </c>
      <c r="P276" s="6">
        <f t="shared" si="123"/>
        <v>0.42835463686321218</v>
      </c>
      <c r="Q276" s="6">
        <f t="shared" si="124"/>
        <v>3.6370918389861978E-2</v>
      </c>
      <c r="R276" s="6">
        <f t="shared" si="125"/>
        <v>1.1877906283686039E-2</v>
      </c>
      <c r="S276" s="6">
        <f t="shared" si="126"/>
        <v>4.0030322321430334E-2</v>
      </c>
      <c r="T276" s="6">
        <f t="shared" si="127"/>
        <v>0.38863757044720265</v>
      </c>
      <c r="V276" s="6">
        <f t="shared" si="128"/>
        <v>16.577512996556205</v>
      </c>
      <c r="W276" s="6">
        <f t="shared" si="129"/>
        <v>74.962061451062127</v>
      </c>
      <c r="X276" s="6">
        <f t="shared" si="130"/>
        <v>6.364910718225846</v>
      </c>
      <c r="Y276" s="6">
        <f t="shared" si="131"/>
        <v>2.0786335996450567</v>
      </c>
      <c r="Z276" s="6">
        <f t="shared" si="132"/>
        <v>7.0053064062503081</v>
      </c>
      <c r="AA276" s="6">
        <f t="shared" si="133"/>
        <v>68.011574828260464</v>
      </c>
      <c r="AC276" s="14">
        <f t="shared" si="134"/>
        <v>1.5712624981445318E-3</v>
      </c>
      <c r="AD276" s="17"/>
      <c r="AE276" s="15">
        <f t="shared" si="135"/>
        <v>-5.7839477222974009E-4</v>
      </c>
    </row>
    <row r="277" spans="2:31" x14ac:dyDescent="0.2">
      <c r="B277" s="6">
        <f t="shared" si="136"/>
        <v>262</v>
      </c>
      <c r="C277" s="6">
        <f t="shared" si="112"/>
        <v>923.44889101900003</v>
      </c>
      <c r="D277" s="6">
        <f t="shared" si="113"/>
        <v>30768.296367299979</v>
      </c>
      <c r="E277" s="6">
        <f t="shared" si="114"/>
        <v>1.409484112783181</v>
      </c>
      <c r="F277" s="6">
        <f t="shared" si="115"/>
        <v>-0.51402790205282545</v>
      </c>
      <c r="H277" s="6">
        <f t="shared" si="116"/>
        <v>409.79812891959199</v>
      </c>
      <c r="I277" s="6">
        <f t="shared" si="117"/>
        <v>1853.3888573973616</v>
      </c>
      <c r="J277" s="6">
        <f t="shared" si="118"/>
        <v>159.09185757520987</v>
      </c>
      <c r="K277" s="6">
        <f t="shared" si="119"/>
        <v>50.977128923722319</v>
      </c>
      <c r="L277" s="6">
        <f t="shared" si="120"/>
        <v>174.43834250341354</v>
      </c>
      <c r="M277" s="6">
        <f t="shared" si="121"/>
        <v>1684.9063640310915</v>
      </c>
      <c r="O277" s="6">
        <f t="shared" si="122"/>
        <v>9.4584790809993394E-2</v>
      </c>
      <c r="P277" s="6">
        <f t="shared" si="123"/>
        <v>0.42777744698023951</v>
      </c>
      <c r="Q277" s="6">
        <f t="shared" si="124"/>
        <v>3.6719713943049861E-2</v>
      </c>
      <c r="R277" s="6">
        <f t="shared" si="125"/>
        <v>1.1765942143406942E-2</v>
      </c>
      <c r="S277" s="6">
        <f t="shared" si="126"/>
        <v>4.0261809341166417E-2</v>
      </c>
      <c r="T277" s="6">
        <f t="shared" si="127"/>
        <v>0.38889029678214382</v>
      </c>
      <c r="V277" s="6">
        <f t="shared" si="128"/>
        <v>16.552338391748844</v>
      </c>
      <c r="W277" s="6">
        <f t="shared" si="129"/>
        <v>74.861053221541908</v>
      </c>
      <c r="X277" s="6">
        <f t="shared" si="130"/>
        <v>6.4259499400337257</v>
      </c>
      <c r="Y277" s="6">
        <f t="shared" si="131"/>
        <v>2.0590398750962149</v>
      </c>
      <c r="Z277" s="6">
        <f t="shared" si="132"/>
        <v>7.0458166347041233</v>
      </c>
      <c r="AA277" s="6">
        <f t="shared" si="133"/>
        <v>68.05580193687517</v>
      </c>
      <c r="AC277" s="14">
        <f t="shared" si="134"/>
        <v>1.5263260657856815E-3</v>
      </c>
      <c r="AD277" s="17"/>
      <c r="AE277" s="15">
        <f t="shared" si="135"/>
        <v>-5.5663925426951359E-4</v>
      </c>
    </row>
    <row r="278" spans="2:31" x14ac:dyDescent="0.2">
      <c r="B278" s="6">
        <f t="shared" si="136"/>
        <v>263</v>
      </c>
      <c r="C278" s="6">
        <f t="shared" si="112"/>
        <v>951.15235774957</v>
      </c>
      <c r="D278" s="6">
        <f t="shared" si="113"/>
        <v>31691.745258318981</v>
      </c>
      <c r="E278" s="6">
        <f t="shared" si="114"/>
        <v>1.4097145038662813</v>
      </c>
      <c r="F278" s="6">
        <f t="shared" si="115"/>
        <v>-0.5093289623934335</v>
      </c>
      <c r="H278" s="6">
        <f t="shared" si="116"/>
        <v>408.90267270886164</v>
      </c>
      <c r="I278" s="6">
        <f t="shared" si="117"/>
        <v>1849.6744329610649</v>
      </c>
      <c r="J278" s="6">
        <f t="shared" si="118"/>
        <v>160.50134168799306</v>
      </c>
      <c r="K278" s="6">
        <f t="shared" si="119"/>
        <v>50.463101021669495</v>
      </c>
      <c r="L278" s="6">
        <f t="shared" si="120"/>
        <v>175.33379871414391</v>
      </c>
      <c r="M278" s="6">
        <f t="shared" si="121"/>
        <v>1684.9063640310915</v>
      </c>
      <c r="O278" s="6">
        <f t="shared" si="122"/>
        <v>9.443955838656673E-2</v>
      </c>
      <c r="P278" s="6">
        <f t="shared" si="123"/>
        <v>0.42719807980355257</v>
      </c>
      <c r="Q278" s="6">
        <f t="shared" si="124"/>
        <v>3.7069153226733174E-2</v>
      </c>
      <c r="R278" s="6">
        <f t="shared" si="125"/>
        <v>1.1654883407172922E-2</v>
      </c>
      <c r="S278" s="6">
        <f t="shared" si="126"/>
        <v>4.0494835631931743E-2</v>
      </c>
      <c r="T278" s="6">
        <f t="shared" si="127"/>
        <v>0.38914348954404299</v>
      </c>
      <c r="V278" s="6">
        <f t="shared" si="128"/>
        <v>16.526922717649178</v>
      </c>
      <c r="W278" s="6">
        <f t="shared" si="129"/>
        <v>74.759663965621698</v>
      </c>
      <c r="X278" s="6">
        <f t="shared" si="130"/>
        <v>6.4871018146783053</v>
      </c>
      <c r="Y278" s="6">
        <f t="shared" si="131"/>
        <v>2.0396045962552614</v>
      </c>
      <c r="Z278" s="6">
        <f t="shared" si="132"/>
        <v>7.086596235588055</v>
      </c>
      <c r="AA278" s="6">
        <f t="shared" si="133"/>
        <v>68.100110670207528</v>
      </c>
      <c r="AC278" s="14">
        <f t="shared" si="134"/>
        <v>1.482112189893185E-3</v>
      </c>
      <c r="AD278" s="17"/>
      <c r="AE278" s="15">
        <f t="shared" si="135"/>
        <v>-5.3548620075810746E-4</v>
      </c>
    </row>
    <row r="279" spans="2:31" x14ac:dyDescent="0.2">
      <c r="B279" s="6">
        <f t="shared" si="136"/>
        <v>264</v>
      </c>
      <c r="C279" s="6">
        <f t="shared" si="112"/>
        <v>979.68692848205717</v>
      </c>
      <c r="D279" s="6">
        <f t="shared" si="113"/>
        <v>32642.897616068549</v>
      </c>
      <c r="E279" s="6">
        <f t="shared" si="114"/>
        <v>1.4094076317849966</v>
      </c>
      <c r="F279" s="6">
        <f t="shared" si="115"/>
        <v>-0.50447102337224237</v>
      </c>
      <c r="H279" s="6">
        <f t="shared" si="116"/>
        <v>408.00228716738883</v>
      </c>
      <c r="I279" s="6">
        <f t="shared" si="117"/>
        <v>1845.9546184118597</v>
      </c>
      <c r="J279" s="6">
        <f t="shared" si="118"/>
        <v>161.91105619185933</v>
      </c>
      <c r="K279" s="6">
        <f t="shared" si="119"/>
        <v>49.953772059276062</v>
      </c>
      <c r="L279" s="6">
        <f t="shared" si="120"/>
        <v>176.23418425561675</v>
      </c>
      <c r="M279" s="6">
        <f t="shared" si="121"/>
        <v>1684.9063640310915</v>
      </c>
      <c r="O279" s="6">
        <f t="shared" si="122"/>
        <v>9.4293007557200575E-2</v>
      </c>
      <c r="P279" s="6">
        <f t="shared" si="123"/>
        <v>0.42661675745152844</v>
      </c>
      <c r="Q279" s="6">
        <f t="shared" si="124"/>
        <v>3.7419105052295398E-2</v>
      </c>
      <c r="R279" s="6">
        <f t="shared" si="125"/>
        <v>1.1544767160492724E-2</v>
      </c>
      <c r="S279" s="6">
        <f t="shared" si="126"/>
        <v>4.072930910074609E-2</v>
      </c>
      <c r="T279" s="6">
        <f t="shared" si="127"/>
        <v>0.38939705367773669</v>
      </c>
      <c r="V279" s="6">
        <f t="shared" si="128"/>
        <v>16.501276322510101</v>
      </c>
      <c r="W279" s="6">
        <f t="shared" si="129"/>
        <v>74.657932554017478</v>
      </c>
      <c r="X279" s="6">
        <f t="shared" si="130"/>
        <v>6.5483433841516945</v>
      </c>
      <c r="Y279" s="6">
        <f t="shared" si="131"/>
        <v>2.0203342530862267</v>
      </c>
      <c r="Z279" s="6">
        <f t="shared" si="132"/>
        <v>7.1276290926305661</v>
      </c>
      <c r="AA279" s="6">
        <f t="shared" si="133"/>
        <v>68.144484393603918</v>
      </c>
      <c r="AC279" s="14">
        <f t="shared" si="134"/>
        <v>1.4386306388396502E-3</v>
      </c>
      <c r="AD279" s="17"/>
      <c r="AE279" s="15">
        <f t="shared" si="135"/>
        <v>-5.1493085056659679E-4</v>
      </c>
    </row>
    <row r="280" spans="2:31" x14ac:dyDescent="0.2">
      <c r="B280" s="6">
        <f t="shared" si="136"/>
        <v>265</v>
      </c>
      <c r="C280" s="6">
        <f t="shared" ref="C280:C315" si="137">C279*C$13</f>
        <v>1009.077536336519</v>
      </c>
      <c r="D280" s="6">
        <f t="shared" ref="D280:D314" si="138">D279+C279</f>
        <v>33622.584544550606</v>
      </c>
      <c r="E280" s="6">
        <f t="shared" ref="E280:E315" si="139">AC280*C280</f>
        <v>1.4085612760643618</v>
      </c>
      <c r="F280" s="6">
        <f t="shared" ref="F280:F315" si="140">AE280*C280</f>
        <v>-0.49946076211024254</v>
      </c>
      <c r="H280" s="6">
        <f t="shared" ref="H280:H315" si="141">H279-E279-F279</f>
        <v>407.09735055897607</v>
      </c>
      <c r="I280" s="6">
        <f t="shared" ref="I280:I315" si="142">I279-3*E279-F279</f>
        <v>1842.2308665398768</v>
      </c>
      <c r="J280" s="6">
        <f t="shared" ref="J280:J315" si="143">J279+E279</f>
        <v>163.32046382364433</v>
      </c>
      <c r="K280" s="6">
        <f t="shared" ref="K280:K315" si="144">K279+F279</f>
        <v>49.449301035903822</v>
      </c>
      <c r="L280" s="6">
        <f t="shared" ref="L280:L315" si="145">L279+E279+F279</f>
        <v>177.13912086402951</v>
      </c>
      <c r="M280" s="6">
        <f t="shared" ref="M280:M315" si="146">M279</f>
        <v>1684.9063640310915</v>
      </c>
      <c r="O280" s="6">
        <f t="shared" ref="O280:O315" si="147">H280/SUM($H280:$M280)</f>
        <v>9.4145199778767258E-2</v>
      </c>
      <c r="P280" s="6">
        <f t="shared" ref="P280:P315" si="148">I280/SUM($H280:$M280)</f>
        <v>0.42603370601863549</v>
      </c>
      <c r="Q280" s="6">
        <f t="shared" ref="Q280:Q315" si="149">J280/SUM($H280:$M280)</f>
        <v>3.7769436901335059E-2</v>
      </c>
      <c r="R280" s="6">
        <f t="shared" ref="R280:R315" si="150">K280/SUM($H280:$M280)</f>
        <v>1.1435629140188029E-2</v>
      </c>
      <c r="S280" s="6">
        <f t="shared" ref="S280:S315" si="151">L280/SUM($H280:$M280)</f>
        <v>4.0965134996532711E-2</v>
      </c>
      <c r="T280" s="6">
        <f t="shared" ref="T280:T315" si="152">M280/SUM($H280:$M280)</f>
        <v>0.38965089316454143</v>
      </c>
      <c r="V280" s="6">
        <f t="shared" ref="V280:V315" si="153">O280*$G$8</f>
        <v>16.475409961284271</v>
      </c>
      <c r="W280" s="6">
        <f t="shared" ref="W280:W315" si="154">P280*$G$8</f>
        <v>74.555898553261216</v>
      </c>
      <c r="X280" s="6">
        <f t="shared" ref="X280:X315" si="155">Q280*$G$8</f>
        <v>6.6096514577336354</v>
      </c>
      <c r="Y280" s="6">
        <f t="shared" ref="Y280:Y315" si="156">R280*$G$8</f>
        <v>2.0012350995329049</v>
      </c>
      <c r="Z280" s="6">
        <f t="shared" ref="Z280:Z315" si="157">S280*$G$8</f>
        <v>7.1688986243932247</v>
      </c>
      <c r="AA280" s="6">
        <f t="shared" ref="AA280:AA315" si="158">T280*$G$8</f>
        <v>68.188906303794752</v>
      </c>
      <c r="AC280" s="14">
        <f t="shared" ref="AC280:AC315" si="159">$M$9*V280*W280*(1-(1/$I$9)*(Z280*X280/(W280^3*V280)))/(1+$O$9*Z280/W280+$Q$9*W280^0.5+$S$9*Z280)^3</f>
        <v>1.3958900335629097E-3</v>
      </c>
      <c r="AD280" s="17"/>
      <c r="AE280" s="15">
        <f t="shared" ref="AE280:AE315" si="160" xml:space="preserve"> $U$9*V280*(1-$K$9*Z280*Y280/(V280*W280))/(1+$O$9*Z280/W280+$Q$9*W280^0.5+$S$9*Z280)</f>
        <v>-4.9496767505453269E-4</v>
      </c>
    </row>
    <row r="281" spans="2:31" x14ac:dyDescent="0.2">
      <c r="B281" s="6">
        <f t="shared" si="136"/>
        <v>266</v>
      </c>
      <c r="C281" s="6">
        <f t="shared" si="137"/>
        <v>1039.3498624266147</v>
      </c>
      <c r="D281" s="6">
        <f t="shared" si="138"/>
        <v>34631.662080887123</v>
      </c>
      <c r="E281" s="6">
        <f t="shared" si="139"/>
        <v>1.4071735626944741</v>
      </c>
      <c r="F281" s="6">
        <f t="shared" si="140"/>
        <v>-0.49430484510520833</v>
      </c>
      <c r="H281" s="6">
        <f t="shared" si="141"/>
        <v>406.18825004502196</v>
      </c>
      <c r="I281" s="6">
        <f t="shared" si="142"/>
        <v>1838.504643473794</v>
      </c>
      <c r="J281" s="6">
        <f t="shared" si="143"/>
        <v>164.72902509970871</v>
      </c>
      <c r="K281" s="6">
        <f t="shared" si="144"/>
        <v>48.949840273793576</v>
      </c>
      <c r="L281" s="6">
        <f t="shared" si="145"/>
        <v>178.04822137798365</v>
      </c>
      <c r="M281" s="6">
        <f t="shared" si="146"/>
        <v>1684.9063640310915</v>
      </c>
      <c r="O281" s="6">
        <f t="shared" si="147"/>
        <v>9.3996198778337869E-2</v>
      </c>
      <c r="P281" s="6">
        <f t="shared" si="148"/>
        <v>0.42544915541920625</v>
      </c>
      <c r="Q281" s="6">
        <f t="shared" si="149"/>
        <v>3.8120015008109645E-2</v>
      </c>
      <c r="R281" s="6">
        <f t="shared" si="150"/>
        <v>1.1327503727725761E-2</v>
      </c>
      <c r="S281" s="6">
        <f t="shared" si="151"/>
        <v>4.1202215984631398E-2</v>
      </c>
      <c r="T281" s="6">
        <f t="shared" si="152"/>
        <v>0.38990491108198899</v>
      </c>
      <c r="V281" s="6">
        <f t="shared" si="153"/>
        <v>16.449334786209128</v>
      </c>
      <c r="W281" s="6">
        <f t="shared" si="154"/>
        <v>74.453602198361096</v>
      </c>
      <c r="X281" s="6">
        <f t="shared" si="155"/>
        <v>6.6710026264191882</v>
      </c>
      <c r="Y281" s="6">
        <f t="shared" si="156"/>
        <v>1.9823131523520081</v>
      </c>
      <c r="Z281" s="6">
        <f t="shared" si="157"/>
        <v>7.2103877973104948</v>
      </c>
      <c r="AA281" s="6">
        <f t="shared" si="158"/>
        <v>68.233359439348078</v>
      </c>
      <c r="AC281" s="14">
        <f t="shared" si="159"/>
        <v>1.3538978678547045E-3</v>
      </c>
      <c r="AD281" s="17"/>
      <c r="AE281" s="15">
        <f t="shared" si="160"/>
        <v>-4.7559042722258475E-4</v>
      </c>
    </row>
    <row r="282" spans="2:31" x14ac:dyDescent="0.2">
      <c r="B282" s="6">
        <f t="shared" si="136"/>
        <v>267</v>
      </c>
      <c r="C282" s="6">
        <f t="shared" si="137"/>
        <v>1070.5303582994131</v>
      </c>
      <c r="D282" s="6">
        <f t="shared" si="138"/>
        <v>35671.011943313737</v>
      </c>
      <c r="E282" s="6">
        <f t="shared" si="139"/>
        <v>1.4052429496249388</v>
      </c>
      <c r="F282" s="6">
        <f t="shared" si="140"/>
        <v>-0.48900990833381724</v>
      </c>
      <c r="H282" s="6">
        <f t="shared" si="141"/>
        <v>405.27538132743268</v>
      </c>
      <c r="I282" s="6">
        <f t="shared" si="142"/>
        <v>1834.7774276308157</v>
      </c>
      <c r="J282" s="6">
        <f t="shared" si="143"/>
        <v>166.13619866240319</v>
      </c>
      <c r="K282" s="6">
        <f t="shared" si="144"/>
        <v>48.455535428688371</v>
      </c>
      <c r="L282" s="6">
        <f t="shared" si="145"/>
        <v>178.96109009557293</v>
      </c>
      <c r="M282" s="6">
        <f t="shared" si="146"/>
        <v>1684.9063640310915</v>
      </c>
      <c r="O282" s="6">
        <f t="shared" si="147"/>
        <v>9.3846070496609368E-2</v>
      </c>
      <c r="P282" s="6">
        <f t="shared" si="148"/>
        <v>0.42486333923134351</v>
      </c>
      <c r="Q282" s="6">
        <f t="shared" si="149"/>
        <v>3.8470704439641311E-2</v>
      </c>
      <c r="R282" s="6">
        <f t="shared" si="150"/>
        <v>1.1220423947038885E-2</v>
      </c>
      <c r="S282" s="6">
        <f t="shared" si="151"/>
        <v>4.144045222349748E-2</v>
      </c>
      <c r="T282" s="6">
        <f t="shared" si="152"/>
        <v>0.39015900966186928</v>
      </c>
      <c r="V282" s="6">
        <f t="shared" si="153"/>
        <v>16.423062336906639</v>
      </c>
      <c r="W282" s="6">
        <f t="shared" si="154"/>
        <v>74.351084365485107</v>
      </c>
      <c r="X282" s="6">
        <f t="shared" si="155"/>
        <v>6.7323732769372295</v>
      </c>
      <c r="Y282" s="6">
        <f t="shared" si="156"/>
        <v>1.9635741907318049</v>
      </c>
      <c r="Z282" s="6">
        <f t="shared" si="157"/>
        <v>7.2520791391120589</v>
      </c>
      <c r="AA282" s="6">
        <f t="shared" si="158"/>
        <v>68.277826690827126</v>
      </c>
      <c r="AC282" s="14">
        <f t="shared" si="159"/>
        <v>1.3126605319789641E-3</v>
      </c>
      <c r="AD282" s="17"/>
      <c r="AE282" s="15">
        <f t="shared" si="160"/>
        <v>-4.5679219140560575E-4</v>
      </c>
    </row>
    <row r="283" spans="2:31" x14ac:dyDescent="0.2">
      <c r="B283" s="6">
        <f t="shared" si="136"/>
        <v>268</v>
      </c>
      <c r="C283" s="6">
        <f t="shared" si="137"/>
        <v>1102.6462690483957</v>
      </c>
      <c r="D283" s="6">
        <f t="shared" si="138"/>
        <v>36741.542301613154</v>
      </c>
      <c r="E283" s="6">
        <f t="shared" si="139"/>
        <v>1.4027682126670353</v>
      </c>
      <c r="F283" s="6">
        <f t="shared" si="140"/>
        <v>-0.48358253864036577</v>
      </c>
      <c r="H283" s="6">
        <f t="shared" si="141"/>
        <v>404.35914828614153</v>
      </c>
      <c r="I283" s="6">
        <f t="shared" si="142"/>
        <v>1831.0507086902749</v>
      </c>
      <c r="J283" s="6">
        <f t="shared" si="143"/>
        <v>167.54144161202814</v>
      </c>
      <c r="K283" s="6">
        <f t="shared" si="144"/>
        <v>47.966525520354551</v>
      </c>
      <c r="L283" s="6">
        <f t="shared" si="145"/>
        <v>179.87732313686405</v>
      </c>
      <c r="M283" s="6">
        <f t="shared" si="146"/>
        <v>1684.9063640310915</v>
      </c>
      <c r="O283" s="6">
        <f t="shared" si="147"/>
        <v>9.3694883028765386E-2</v>
      </c>
      <c r="P283" s="6">
        <f t="shared" si="148"/>
        <v>0.4242764945411106</v>
      </c>
      <c r="Q283" s="6">
        <f t="shared" si="149"/>
        <v>3.8821369173528124E-2</v>
      </c>
      <c r="R283" s="6">
        <f t="shared" si="150"/>
        <v>1.1114421466595859E-2</v>
      </c>
      <c r="S283" s="6">
        <f t="shared" si="151"/>
        <v>4.1679741443390331E-2</v>
      </c>
      <c r="T283" s="6">
        <f t="shared" si="152"/>
        <v>0.39041309034660965</v>
      </c>
      <c r="V283" s="6">
        <f t="shared" si="153"/>
        <v>16.396604530033944</v>
      </c>
      <c r="W283" s="6">
        <f t="shared" si="154"/>
        <v>74.248386544694355</v>
      </c>
      <c r="X283" s="6">
        <f t="shared" si="155"/>
        <v>6.7937396053674215</v>
      </c>
      <c r="Y283" s="6">
        <f t="shared" si="156"/>
        <v>1.9450237566542752</v>
      </c>
      <c r="Z283" s="6">
        <f t="shared" si="157"/>
        <v>7.2939547525933079</v>
      </c>
      <c r="AA283" s="6">
        <f t="shared" si="158"/>
        <v>68.322290810656682</v>
      </c>
      <c r="AC283" s="14">
        <f t="shared" si="159"/>
        <v>1.2721833393384177E-3</v>
      </c>
      <c r="AD283" s="17"/>
      <c r="AE283" s="15">
        <f t="shared" si="160"/>
        <v>-4.385654331898357E-4</v>
      </c>
    </row>
    <row r="284" spans="2:31" x14ac:dyDescent="0.2">
      <c r="B284" s="6">
        <f t="shared" si="136"/>
        <v>269</v>
      </c>
      <c r="C284" s="6">
        <f t="shared" si="137"/>
        <v>1135.7256571198475</v>
      </c>
      <c r="D284" s="6">
        <f t="shared" si="138"/>
        <v>37844.18857066155</v>
      </c>
      <c r="E284" s="6">
        <f t="shared" si="139"/>
        <v>1.3997484319824529</v>
      </c>
      <c r="F284" s="6">
        <f t="shared" si="140"/>
        <v>-0.47802925646871308</v>
      </c>
      <c r="H284" s="6">
        <f t="shared" si="141"/>
        <v>403.43996261211487</v>
      </c>
      <c r="I284" s="6">
        <f t="shared" si="142"/>
        <v>1827.325986590914</v>
      </c>
      <c r="J284" s="6">
        <f t="shared" si="143"/>
        <v>168.94420982469518</v>
      </c>
      <c r="K284" s="6">
        <f t="shared" si="144"/>
        <v>47.482942981714189</v>
      </c>
      <c r="L284" s="6">
        <f t="shared" si="145"/>
        <v>180.79650881089071</v>
      </c>
      <c r="M284" s="6">
        <f t="shared" si="146"/>
        <v>1684.9063640310915</v>
      </c>
      <c r="O284" s="6">
        <f t="shared" si="147"/>
        <v>9.354270656296397E-2</v>
      </c>
      <c r="P284" s="6">
        <f t="shared" si="148"/>
        <v>0.42368886178708853</v>
      </c>
      <c r="Q284" s="6">
        <f t="shared" si="149"/>
        <v>3.9171872173549303E-2</v>
      </c>
      <c r="R284" s="6">
        <f t="shared" si="150"/>
        <v>1.1009526605461421E-2</v>
      </c>
      <c r="S284" s="6">
        <f t="shared" si="151"/>
        <v>4.1919979026880924E-2</v>
      </c>
      <c r="T284" s="6">
        <f t="shared" si="152"/>
        <v>0.39066705384405581</v>
      </c>
      <c r="V284" s="6">
        <f t="shared" si="153"/>
        <v>16.369973648518695</v>
      </c>
      <c r="W284" s="6">
        <f t="shared" si="154"/>
        <v>74.145550812740495</v>
      </c>
      <c r="X284" s="6">
        <f t="shared" si="155"/>
        <v>6.8550776303711283</v>
      </c>
      <c r="Y284" s="6">
        <f t="shared" si="156"/>
        <v>1.9266671559557487</v>
      </c>
      <c r="Z284" s="6">
        <f t="shared" si="157"/>
        <v>7.3359963297041615</v>
      </c>
      <c r="AA284" s="6">
        <f t="shared" si="158"/>
        <v>68.366734422709769</v>
      </c>
      <c r="AC284" s="14">
        <f t="shared" si="159"/>
        <v>1.2324705559018153E-3</v>
      </c>
      <c r="AD284" s="17"/>
      <c r="AE284" s="15">
        <f t="shared" si="160"/>
        <v>-4.2090204925102705E-4</v>
      </c>
    </row>
    <row r="285" spans="2:31" x14ac:dyDescent="0.2">
      <c r="B285" s="6">
        <f t="shared" si="136"/>
        <v>270</v>
      </c>
      <c r="C285" s="6">
        <f t="shared" si="137"/>
        <v>1169.7974268334428</v>
      </c>
      <c r="D285" s="6">
        <f t="shared" si="138"/>
        <v>38979.914227781395</v>
      </c>
      <c r="E285" s="6">
        <f t="shared" si="139"/>
        <v>1.396182979331251</v>
      </c>
      <c r="F285" s="6">
        <f t="shared" si="140"/>
        <v>-0.4723564999775911</v>
      </c>
      <c r="H285" s="6">
        <f t="shared" si="141"/>
        <v>402.5182434366011</v>
      </c>
      <c r="I285" s="6">
        <f t="shared" si="142"/>
        <v>1823.6047705514354</v>
      </c>
      <c r="J285" s="6">
        <f t="shared" si="143"/>
        <v>170.34395825667764</v>
      </c>
      <c r="K285" s="6">
        <f t="shared" si="144"/>
        <v>47.004913725245473</v>
      </c>
      <c r="L285" s="6">
        <f t="shared" si="145"/>
        <v>181.71822798640446</v>
      </c>
      <c r="M285" s="6">
        <f t="shared" si="146"/>
        <v>1684.9063640310915</v>
      </c>
      <c r="O285" s="6">
        <f t="shared" si="147"/>
        <v>9.3389613316626222E-2</v>
      </c>
      <c r="P285" s="6">
        <f t="shared" si="148"/>
        <v>0.42310068460531175</v>
      </c>
      <c r="Q285" s="6">
        <f t="shared" si="149"/>
        <v>3.9522075463196492E-2</v>
      </c>
      <c r="R285" s="6">
        <f t="shared" si="150"/>
        <v>1.0905768343077511E-2</v>
      </c>
      <c r="S285" s="6">
        <f t="shared" si="151"/>
        <v>4.2161058091037318E-2</v>
      </c>
      <c r="T285" s="6">
        <f t="shared" si="152"/>
        <v>0.3909208001807507</v>
      </c>
      <c r="V285" s="6">
        <f t="shared" si="153"/>
        <v>16.34318233040959</v>
      </c>
      <c r="W285" s="6">
        <f t="shared" si="154"/>
        <v>74.042619805929561</v>
      </c>
      <c r="X285" s="6">
        <f t="shared" si="155"/>
        <v>6.916363206059386</v>
      </c>
      <c r="Y285" s="6">
        <f t="shared" si="156"/>
        <v>1.9085094600385644</v>
      </c>
      <c r="Z285" s="6">
        <f t="shared" si="157"/>
        <v>7.378185165931531</v>
      </c>
      <c r="AA285" s="6">
        <f t="shared" si="158"/>
        <v>68.411140031631376</v>
      </c>
      <c r="AC285" s="14">
        <f t="shared" si="159"/>
        <v>1.1935254321003403E-3</v>
      </c>
      <c r="AD285" s="17"/>
      <c r="AE285" s="15">
        <f t="shared" si="160"/>
        <v>-4.0379341682792553E-4</v>
      </c>
    </row>
    <row r="286" spans="2:31" x14ac:dyDescent="0.2">
      <c r="B286" s="6">
        <f t="shared" si="136"/>
        <v>271</v>
      </c>
      <c r="C286" s="6">
        <f t="shared" si="137"/>
        <v>1204.8913496384462</v>
      </c>
      <c r="D286" s="6">
        <f t="shared" si="138"/>
        <v>40149.711654614839</v>
      </c>
      <c r="E286" s="6">
        <f t="shared" si="139"/>
        <v>1.392071506244613</v>
      </c>
      <c r="F286" s="6">
        <f t="shared" si="140"/>
        <v>-0.4665706105651945</v>
      </c>
      <c r="H286" s="6">
        <f t="shared" si="141"/>
        <v>401.59441695724746</v>
      </c>
      <c r="I286" s="6">
        <f t="shared" si="142"/>
        <v>1819.8885781134193</v>
      </c>
      <c r="J286" s="6">
        <f t="shared" si="143"/>
        <v>171.7401412360089</v>
      </c>
      <c r="K286" s="6">
        <f t="shared" si="144"/>
        <v>46.53255722526788</v>
      </c>
      <c r="L286" s="6">
        <f t="shared" si="145"/>
        <v>182.64205446575812</v>
      </c>
      <c r="M286" s="6">
        <f t="shared" si="146"/>
        <v>1684.9063640310915</v>
      </c>
      <c r="O286" s="6">
        <f t="shared" si="147"/>
        <v>9.323567747067936E-2</v>
      </c>
      <c r="P286" s="6">
        <f t="shared" si="148"/>
        <v>0.42251220967451719</v>
      </c>
      <c r="Q286" s="6">
        <f t="shared" si="149"/>
        <v>3.9871840197305504E-2</v>
      </c>
      <c r="R286" s="6">
        <f t="shared" si="150"/>
        <v>1.0803174332482988E-2</v>
      </c>
      <c r="S286" s="6">
        <f t="shared" si="151"/>
        <v>4.2402869571178593E-2</v>
      </c>
      <c r="T286" s="6">
        <f t="shared" si="152"/>
        <v>0.39117422875383651</v>
      </c>
      <c r="V286" s="6">
        <f t="shared" si="153"/>
        <v>16.316243557368889</v>
      </c>
      <c r="W286" s="6">
        <f t="shared" si="154"/>
        <v>73.939636693040512</v>
      </c>
      <c r="X286" s="6">
        <f t="shared" si="155"/>
        <v>6.9775720345284631</v>
      </c>
      <c r="Y286" s="6">
        <f t="shared" si="156"/>
        <v>1.8905555081845229</v>
      </c>
      <c r="Z286" s="6">
        <f t="shared" si="157"/>
        <v>7.4205021749562539</v>
      </c>
      <c r="AA286" s="6">
        <f t="shared" si="158"/>
        <v>68.455490031921386</v>
      </c>
      <c r="AC286" s="14">
        <f t="shared" si="159"/>
        <v>1.1553502369008909E-3</v>
      </c>
      <c r="AD286" s="17"/>
      <c r="AE286" s="15">
        <f t="shared" si="160"/>
        <v>-3.8723044256662573E-4</v>
      </c>
    </row>
    <row r="287" spans="2:31" x14ac:dyDescent="0.2">
      <c r="B287" s="6">
        <f t="shared" si="136"/>
        <v>272</v>
      </c>
      <c r="C287" s="6">
        <f t="shared" si="137"/>
        <v>1241.0380901275996</v>
      </c>
      <c r="D287" s="6">
        <f t="shared" si="138"/>
        <v>41354.603004253288</v>
      </c>
      <c r="E287" s="6">
        <f t="shared" si="139"/>
        <v>1.3874139332802029</v>
      </c>
      <c r="F287" s="6">
        <f t="shared" si="140"/>
        <v>-0.46067781981570249</v>
      </c>
      <c r="H287" s="6">
        <f t="shared" si="141"/>
        <v>400.66891606156804</v>
      </c>
      <c r="I287" s="6">
        <f t="shared" si="142"/>
        <v>1816.1789342052507</v>
      </c>
      <c r="J287" s="6">
        <f t="shared" si="143"/>
        <v>173.1322127422535</v>
      </c>
      <c r="K287" s="6">
        <f t="shared" si="144"/>
        <v>46.065986614702688</v>
      </c>
      <c r="L287" s="6">
        <f t="shared" si="145"/>
        <v>183.56755536143754</v>
      </c>
      <c r="M287" s="6">
        <f t="shared" si="146"/>
        <v>1684.9063640310915</v>
      </c>
      <c r="O287" s="6">
        <f t="shared" si="147"/>
        <v>9.3080975101883762E-2</v>
      </c>
      <c r="P287" s="6">
        <f t="shared" si="148"/>
        <v>0.42192368656156926</v>
      </c>
      <c r="Q287" s="6">
        <f t="shared" si="149"/>
        <v>4.0221026732004866E-2</v>
      </c>
      <c r="R287" s="6">
        <f t="shared" si="150"/>
        <v>1.070177091668365E-2</v>
      </c>
      <c r="S287" s="6">
        <f t="shared" si="151"/>
        <v>4.2645302306121624E-2</v>
      </c>
      <c r="T287" s="6">
        <f t="shared" si="152"/>
        <v>0.39142723838173693</v>
      </c>
      <c r="V287" s="6">
        <f t="shared" si="153"/>
        <v>16.289170642829657</v>
      </c>
      <c r="W287" s="6">
        <f t="shared" si="154"/>
        <v>73.836645148274613</v>
      </c>
      <c r="X287" s="6">
        <f t="shared" si="155"/>
        <v>7.038679678100852</v>
      </c>
      <c r="Y287" s="6">
        <f t="shared" si="156"/>
        <v>1.8728099104196387</v>
      </c>
      <c r="Z287" s="6">
        <f t="shared" si="157"/>
        <v>7.4629279035712841</v>
      </c>
      <c r="AA287" s="6">
        <f t="shared" si="158"/>
        <v>68.499766716803961</v>
      </c>
      <c r="AC287" s="14">
        <f t="shared" si="159"/>
        <v>1.117946293765692E-3</v>
      </c>
      <c r="AD287" s="17"/>
      <c r="AE287" s="15">
        <f t="shared" si="160"/>
        <v>-3.7120361049380608E-4</v>
      </c>
    </row>
    <row r="288" spans="2:31" x14ac:dyDescent="0.2">
      <c r="B288" s="6">
        <f t="shared" si="136"/>
        <v>273</v>
      </c>
      <c r="C288" s="6">
        <f t="shared" si="137"/>
        <v>1278.2692328314276</v>
      </c>
      <c r="D288" s="6">
        <f t="shared" si="138"/>
        <v>42595.641094380888</v>
      </c>
      <c r="E288" s="6">
        <f t="shared" si="139"/>
        <v>1.3822104405095812</v>
      </c>
      <c r="F288" s="6">
        <f t="shared" si="140"/>
        <v>-0.45468423786954393</v>
      </c>
      <c r="H288" s="6">
        <f t="shared" si="141"/>
        <v>399.74217994810357</v>
      </c>
      <c r="I288" s="6">
        <f t="shared" si="142"/>
        <v>1812.4773702252257</v>
      </c>
      <c r="J288" s="6">
        <f t="shared" si="143"/>
        <v>174.51962667553371</v>
      </c>
      <c r="K288" s="6">
        <f t="shared" si="144"/>
        <v>45.605308794886987</v>
      </c>
      <c r="L288" s="6">
        <f t="shared" si="145"/>
        <v>184.49429147490204</v>
      </c>
      <c r="M288" s="6">
        <f t="shared" si="146"/>
        <v>1684.9063640310915</v>
      </c>
      <c r="O288" s="6">
        <f t="shared" si="147"/>
        <v>9.2925584113349613E-2</v>
      </c>
      <c r="P288" s="6">
        <f t="shared" si="148"/>
        <v>0.42133536756684703</v>
      </c>
      <c r="Q288" s="6">
        <f t="shared" si="149"/>
        <v>4.0569494693237264E-2</v>
      </c>
      <c r="R288" s="6">
        <f t="shared" si="150"/>
        <v>1.0601583147879812E-2</v>
      </c>
      <c r="S288" s="6">
        <f t="shared" si="151"/>
        <v>4.2888243124880134E-2</v>
      </c>
      <c r="T288" s="6">
        <f t="shared" si="152"/>
        <v>0.39167972735380602</v>
      </c>
      <c r="V288" s="6">
        <f t="shared" si="153"/>
        <v>16.261977219836183</v>
      </c>
      <c r="W288" s="6">
        <f t="shared" si="154"/>
        <v>73.733689324198224</v>
      </c>
      <c r="X288" s="6">
        <f t="shared" si="155"/>
        <v>7.0996615713165214</v>
      </c>
      <c r="Y288" s="6">
        <f t="shared" si="156"/>
        <v>1.8552770508789671</v>
      </c>
      <c r="Z288" s="6">
        <f t="shared" si="157"/>
        <v>7.5054425468540238</v>
      </c>
      <c r="AA288" s="6">
        <f t="shared" si="158"/>
        <v>68.543952286916053</v>
      </c>
      <c r="AC288" s="14">
        <f t="shared" si="159"/>
        <v>1.0813140182118902E-3</v>
      </c>
      <c r="AD288" s="17"/>
      <c r="AE288" s="15">
        <f t="shared" si="160"/>
        <v>-3.5570302890135008E-4</v>
      </c>
    </row>
    <row r="289" spans="2:31" x14ac:dyDescent="0.2">
      <c r="B289" s="6">
        <f t="shared" si="136"/>
        <v>274</v>
      </c>
      <c r="C289" s="6">
        <f t="shared" si="137"/>
        <v>1316.6173098163706</v>
      </c>
      <c r="D289" s="6">
        <f t="shared" si="138"/>
        <v>43873.910327212317</v>
      </c>
      <c r="E289" s="6">
        <f t="shared" si="139"/>
        <v>1.3764614593783062</v>
      </c>
      <c r="F289" s="6">
        <f t="shared" si="140"/>
        <v>-0.44859584320885987</v>
      </c>
      <c r="H289" s="6">
        <f t="shared" si="141"/>
        <v>398.81465374546354</v>
      </c>
      <c r="I289" s="6">
        <f t="shared" si="142"/>
        <v>1808.7854231415665</v>
      </c>
      <c r="J289" s="6">
        <f t="shared" si="143"/>
        <v>175.90183711604328</v>
      </c>
      <c r="K289" s="6">
        <f t="shared" si="144"/>
        <v>45.150624557017444</v>
      </c>
      <c r="L289" s="6">
        <f t="shared" si="145"/>
        <v>185.42181767754207</v>
      </c>
      <c r="M289" s="6">
        <f t="shared" si="146"/>
        <v>1684.9063640310915</v>
      </c>
      <c r="O289" s="6">
        <f t="shared" si="147"/>
        <v>9.2769584163320956E-2</v>
      </c>
      <c r="P289" s="6">
        <f t="shared" si="148"/>
        <v>0.42074750756930618</v>
      </c>
      <c r="Q289" s="6">
        <f t="shared" si="149"/>
        <v>4.0917103044148535E-2</v>
      </c>
      <c r="R289" s="6">
        <f t="shared" si="150"/>
        <v>1.0502634809256631E-2</v>
      </c>
      <c r="S289" s="6">
        <f t="shared" si="151"/>
        <v>4.3131576934811552E-2</v>
      </c>
      <c r="T289" s="6">
        <f t="shared" si="152"/>
        <v>0.39193159347915613</v>
      </c>
      <c r="V289" s="6">
        <f t="shared" si="153"/>
        <v>16.234677228581166</v>
      </c>
      <c r="W289" s="6">
        <f t="shared" si="154"/>
        <v>73.630813824628575</v>
      </c>
      <c r="X289" s="6">
        <f t="shared" si="155"/>
        <v>7.1604930327259932</v>
      </c>
      <c r="Y289" s="6">
        <f t="shared" si="156"/>
        <v>1.8379610916199103</v>
      </c>
      <c r="Z289" s="6">
        <f t="shared" si="157"/>
        <v>7.5480259635920213</v>
      </c>
      <c r="AA289" s="6">
        <f t="shared" si="158"/>
        <v>68.588028858852326</v>
      </c>
      <c r="AC289" s="14">
        <f t="shared" si="159"/>
        <v>1.0454529566911756E-3</v>
      </c>
      <c r="AD289" s="17"/>
      <c r="AE289" s="15">
        <f t="shared" si="160"/>
        <v>-3.4071847594911676E-4</v>
      </c>
    </row>
    <row r="290" spans="2:31" x14ac:dyDescent="0.2">
      <c r="B290" s="6">
        <f t="shared" si="136"/>
        <v>275</v>
      </c>
      <c r="C290" s="6">
        <f t="shared" si="137"/>
        <v>1356.1158291108618</v>
      </c>
      <c r="D290" s="6">
        <f t="shared" si="138"/>
        <v>45190.527637028688</v>
      </c>
      <c r="E290" s="6">
        <f t="shared" si="139"/>
        <v>1.3701676660703621</v>
      </c>
      <c r="F290" s="6">
        <f t="shared" si="140"/>
        <v>-0.4424184738406377</v>
      </c>
      <c r="H290" s="6">
        <f t="shared" si="141"/>
        <v>397.88678812929408</v>
      </c>
      <c r="I290" s="6">
        <f t="shared" si="142"/>
        <v>1805.1046346066403</v>
      </c>
      <c r="J290" s="6">
        <f t="shared" si="143"/>
        <v>177.27829857542159</v>
      </c>
      <c r="K290" s="6">
        <f t="shared" si="144"/>
        <v>44.702028713808588</v>
      </c>
      <c r="L290" s="6">
        <f t="shared" si="145"/>
        <v>186.34968329371151</v>
      </c>
      <c r="M290" s="6">
        <f t="shared" si="146"/>
        <v>1684.9063640310915</v>
      </c>
      <c r="O290" s="6">
        <f t="shared" si="147"/>
        <v>9.261305659227885E-2</v>
      </c>
      <c r="P290" s="6">
        <f t="shared" si="148"/>
        <v>0.42016036387085404</v>
      </c>
      <c r="Q290" s="6">
        <f t="shared" si="149"/>
        <v>4.1263710151675792E-2</v>
      </c>
      <c r="R290" s="6">
        <f t="shared" si="150"/>
        <v>1.0404948439042742E-2</v>
      </c>
      <c r="S290" s="6">
        <f t="shared" si="151"/>
        <v>4.3375186811243381E-2</v>
      </c>
      <c r="T290" s="6">
        <f t="shared" si="152"/>
        <v>0.39218273413490512</v>
      </c>
      <c r="V290" s="6">
        <f t="shared" si="153"/>
        <v>16.207284903648798</v>
      </c>
      <c r="W290" s="6">
        <f t="shared" si="154"/>
        <v>73.528063677399459</v>
      </c>
      <c r="X290" s="6">
        <f t="shared" si="155"/>
        <v>7.2211492765432634</v>
      </c>
      <c r="Y290" s="6">
        <f t="shared" si="156"/>
        <v>1.82086597683248</v>
      </c>
      <c r="Z290" s="6">
        <f t="shared" si="157"/>
        <v>7.5906576919675919</v>
      </c>
      <c r="AA290" s="6">
        <f t="shared" si="158"/>
        <v>68.631978473608399</v>
      </c>
      <c r="AC290" s="14">
        <f t="shared" si="159"/>
        <v>1.0103618265179556E-3</v>
      </c>
      <c r="AD290" s="17"/>
      <c r="AE290" s="15">
        <f t="shared" si="160"/>
        <v>-3.2623944381705925E-4</v>
      </c>
    </row>
    <row r="291" spans="2:31" x14ac:dyDescent="0.2">
      <c r="B291" s="6">
        <f t="shared" si="136"/>
        <v>276</v>
      </c>
      <c r="C291" s="6">
        <f t="shared" si="137"/>
        <v>1396.7993039841876</v>
      </c>
      <c r="D291" s="6">
        <f t="shared" si="138"/>
        <v>46546.643466139547</v>
      </c>
      <c r="E291" s="6">
        <f t="shared" si="139"/>
        <v>1.3633299764992222</v>
      </c>
      <c r="F291" s="6">
        <f t="shared" si="140"/>
        <v>-0.43615781985238689</v>
      </c>
      <c r="H291" s="6">
        <f t="shared" si="141"/>
        <v>396.95903893706435</v>
      </c>
      <c r="I291" s="6">
        <f t="shared" si="142"/>
        <v>1801.4365500822698</v>
      </c>
      <c r="J291" s="6">
        <f t="shared" si="143"/>
        <v>178.64846624149195</v>
      </c>
      <c r="K291" s="6">
        <f t="shared" si="144"/>
        <v>44.259610239967948</v>
      </c>
      <c r="L291" s="6">
        <f t="shared" si="145"/>
        <v>187.27743248594123</v>
      </c>
      <c r="M291" s="6">
        <f t="shared" si="146"/>
        <v>1684.9063640310915</v>
      </c>
      <c r="O291" s="6">
        <f t="shared" si="147"/>
        <v>9.2456084348387493E-2</v>
      </c>
      <c r="P291" s="6">
        <f t="shared" si="148"/>
        <v>0.41957419603960872</v>
      </c>
      <c r="Q291" s="6">
        <f t="shared" si="149"/>
        <v>4.1609173852701048E-2</v>
      </c>
      <c r="R291" s="6">
        <f t="shared" si="150"/>
        <v>1.0308545356544976E-2</v>
      </c>
      <c r="S291" s="6">
        <f t="shared" si="151"/>
        <v>4.3618954088647958E-2</v>
      </c>
      <c r="T291" s="6">
        <f t="shared" si="152"/>
        <v>0.39243304631410975</v>
      </c>
      <c r="V291" s="6">
        <f t="shared" si="153"/>
        <v>16.179814760967812</v>
      </c>
      <c r="W291" s="6">
        <f t="shared" si="154"/>
        <v>73.425484306931523</v>
      </c>
      <c r="X291" s="6">
        <f t="shared" si="155"/>
        <v>7.2816054242226835</v>
      </c>
      <c r="Y291" s="6">
        <f t="shared" si="156"/>
        <v>1.8039954373953708</v>
      </c>
      <c r="Z291" s="6">
        <f t="shared" si="157"/>
        <v>7.6333169655133926</v>
      </c>
      <c r="AA291" s="6">
        <f t="shared" si="158"/>
        <v>68.675783104969199</v>
      </c>
      <c r="AC291" s="14">
        <f t="shared" si="159"/>
        <v>9.7603855658468723E-4</v>
      </c>
      <c r="AD291" s="17"/>
      <c r="AE291" s="15">
        <f t="shared" si="160"/>
        <v>-3.1225518126212092E-4</v>
      </c>
    </row>
    <row r="292" spans="2:31" x14ac:dyDescent="0.2">
      <c r="B292" s="6">
        <f t="shared" si="136"/>
        <v>277</v>
      </c>
      <c r="C292" s="6">
        <f t="shared" si="137"/>
        <v>1438.7032831037134</v>
      </c>
      <c r="D292" s="6">
        <f t="shared" si="138"/>
        <v>47943.442770123736</v>
      </c>
      <c r="E292" s="6">
        <f t="shared" si="139"/>
        <v>1.3559495430384596</v>
      </c>
      <c r="F292" s="6">
        <f t="shared" si="140"/>
        <v>-0.42981941730882856</v>
      </c>
      <c r="H292" s="6">
        <f t="shared" si="141"/>
        <v>396.03186678041749</v>
      </c>
      <c r="I292" s="6">
        <f t="shared" si="142"/>
        <v>1797.7827179726246</v>
      </c>
      <c r="J292" s="6">
        <f t="shared" si="143"/>
        <v>180.01179621799116</v>
      </c>
      <c r="K292" s="6">
        <f t="shared" si="144"/>
        <v>43.823452420115558</v>
      </c>
      <c r="L292" s="6">
        <f t="shared" si="145"/>
        <v>188.20460464258807</v>
      </c>
      <c r="M292" s="6">
        <f t="shared" si="146"/>
        <v>1684.9063640310915</v>
      </c>
      <c r="O292" s="6">
        <f t="shared" si="147"/>
        <v>9.2298751911277926E-2</v>
      </c>
      <c r="P292" s="6">
        <f t="shared" si="148"/>
        <v>0.41898926575153844</v>
      </c>
      <c r="Q292" s="6">
        <f t="shared" si="149"/>
        <v>4.1953351520169727E-2</v>
      </c>
      <c r="R292" s="6">
        <f t="shared" si="150"/>
        <v>1.0213445689870791E-2</v>
      </c>
      <c r="S292" s="6">
        <f t="shared" si="151"/>
        <v>4.3862758453470298E-2</v>
      </c>
      <c r="T292" s="6">
        <f t="shared" si="152"/>
        <v>0.39268242667367276</v>
      </c>
      <c r="V292" s="6">
        <f t="shared" si="153"/>
        <v>16.152281584473638</v>
      </c>
      <c r="W292" s="6">
        <f t="shared" si="154"/>
        <v>73.323121506519229</v>
      </c>
      <c r="X292" s="6">
        <f t="shared" si="155"/>
        <v>7.3418365160297023</v>
      </c>
      <c r="Y292" s="6">
        <f t="shared" si="156"/>
        <v>1.7873529957273884</v>
      </c>
      <c r="Z292" s="6">
        <f t="shared" si="157"/>
        <v>7.675982729357302</v>
      </c>
      <c r="AA292" s="6">
        <f t="shared" si="158"/>
        <v>68.719424667892739</v>
      </c>
      <c r="AC292" s="14">
        <f t="shared" si="159"/>
        <v>9.424803286145777E-4</v>
      </c>
      <c r="AD292" s="17"/>
      <c r="AE292" s="15">
        <f t="shared" si="160"/>
        <v>-2.9875473445892156E-4</v>
      </c>
    </row>
    <row r="293" spans="2:31" x14ac:dyDescent="0.2">
      <c r="B293" s="6">
        <f t="shared" si="136"/>
        <v>278</v>
      </c>
      <c r="C293" s="6">
        <f t="shared" si="137"/>
        <v>1481.8643815968248</v>
      </c>
      <c r="D293" s="6">
        <f t="shared" si="138"/>
        <v>49382.14605322745</v>
      </c>
      <c r="E293" s="6">
        <f t="shared" si="139"/>
        <v>1.3480277530954461</v>
      </c>
      <c r="F293" s="6">
        <f t="shared" si="140"/>
        <v>-0.42340864345182028</v>
      </c>
      <c r="H293" s="6">
        <f t="shared" si="141"/>
        <v>395.10573665468786</v>
      </c>
      <c r="I293" s="6">
        <f t="shared" si="142"/>
        <v>1794.1446887608181</v>
      </c>
      <c r="J293" s="6">
        <f t="shared" si="143"/>
        <v>181.36774576102962</v>
      </c>
      <c r="K293" s="6">
        <f t="shared" si="144"/>
        <v>43.39363300280673</v>
      </c>
      <c r="L293" s="6">
        <f t="shared" si="145"/>
        <v>189.13073476831769</v>
      </c>
      <c r="M293" s="6">
        <f t="shared" si="146"/>
        <v>1684.9063640310915</v>
      </c>
      <c r="O293" s="6">
        <f t="shared" si="147"/>
        <v>9.2141145214137438E-2</v>
      </c>
      <c r="P293" s="6">
        <f t="shared" si="148"/>
        <v>0.41840583662991604</v>
      </c>
      <c r="Q293" s="6">
        <f t="shared" si="149"/>
        <v>4.2296100129604414E-2</v>
      </c>
      <c r="R293" s="6">
        <f t="shared" si="150"/>
        <v>1.0119668405055444E-2</v>
      </c>
      <c r="S293" s="6">
        <f t="shared" si="151"/>
        <v>4.4106478038749855E-2</v>
      </c>
      <c r="T293" s="6">
        <f t="shared" si="152"/>
        <v>0.39293077158253686</v>
      </c>
      <c r="V293" s="6">
        <f t="shared" si="153"/>
        <v>16.124700412474052</v>
      </c>
      <c r="W293" s="6">
        <f t="shared" si="154"/>
        <v>73.221021410235309</v>
      </c>
      <c r="X293" s="6">
        <f t="shared" si="155"/>
        <v>7.4018175226807728</v>
      </c>
      <c r="Y293" s="6">
        <f t="shared" si="156"/>
        <v>1.7709419708847027</v>
      </c>
      <c r="Z293" s="6">
        <f t="shared" si="157"/>
        <v>7.7186336567812246</v>
      </c>
      <c r="AA293" s="6">
        <f t="shared" si="158"/>
        <v>68.762885026943948</v>
      </c>
      <c r="AC293" s="14">
        <f t="shared" si="159"/>
        <v>9.0968361871471715E-4</v>
      </c>
      <c r="AD293" s="17"/>
      <c r="AE293" s="15">
        <f t="shared" si="160"/>
        <v>-2.8572698602524229E-4</v>
      </c>
    </row>
    <row r="294" spans="2:31" x14ac:dyDescent="0.2">
      <c r="B294" s="6">
        <f t="shared" si="136"/>
        <v>279</v>
      </c>
      <c r="C294" s="6">
        <f t="shared" si="137"/>
        <v>1526.3203130447296</v>
      </c>
      <c r="D294" s="6">
        <f t="shared" si="138"/>
        <v>50864.010434824275</v>
      </c>
      <c r="E294" s="6">
        <f t="shared" si="139"/>
        <v>1.3395662296221929</v>
      </c>
      <c r="F294" s="6">
        <f t="shared" si="140"/>
        <v>-0.41693071316184954</v>
      </c>
      <c r="H294" s="6">
        <f t="shared" si="141"/>
        <v>394.18111754504423</v>
      </c>
      <c r="I294" s="6">
        <f t="shared" si="142"/>
        <v>1790.5240141449838</v>
      </c>
      <c r="J294" s="6">
        <f t="shared" si="143"/>
        <v>182.71577351412506</v>
      </c>
      <c r="K294" s="6">
        <f t="shared" si="144"/>
        <v>42.970224359354908</v>
      </c>
      <c r="L294" s="6">
        <f t="shared" si="145"/>
        <v>190.05535387796132</v>
      </c>
      <c r="M294" s="6">
        <f t="shared" si="146"/>
        <v>1684.9063640310915</v>
      </c>
      <c r="O294" s="6">
        <f t="shared" si="147"/>
        <v>9.1983351564043678E-2</v>
      </c>
      <c r="P294" s="6">
        <f t="shared" si="148"/>
        <v>0.4178241740819566</v>
      </c>
      <c r="Q294" s="6">
        <f t="shared" si="149"/>
        <v>4.2637276326472906E-2</v>
      </c>
      <c r="R294" s="6">
        <f t="shared" si="150"/>
        <v>1.0027231336317645E-2</v>
      </c>
      <c r="S294" s="6">
        <f t="shared" si="151"/>
        <v>4.434998952071198E-2</v>
      </c>
      <c r="T294" s="6">
        <f t="shared" si="152"/>
        <v>0.39317797717049713</v>
      </c>
      <c r="V294" s="6">
        <f t="shared" si="153"/>
        <v>16.097086523707645</v>
      </c>
      <c r="W294" s="6">
        <f t="shared" si="154"/>
        <v>73.119230464342408</v>
      </c>
      <c r="X294" s="6">
        <f t="shared" si="155"/>
        <v>7.4615233571327586</v>
      </c>
      <c r="Y294" s="6">
        <f t="shared" si="156"/>
        <v>1.7547654838555879</v>
      </c>
      <c r="Z294" s="6">
        <f t="shared" si="157"/>
        <v>7.7612481661245969</v>
      </c>
      <c r="AA294" s="6">
        <f t="shared" si="158"/>
        <v>68.806146004837004</v>
      </c>
      <c r="AC294" s="14">
        <f t="shared" si="159"/>
        <v>8.7764423900642686E-4</v>
      </c>
      <c r="AD294" s="17"/>
      <c r="AE294" s="15">
        <f t="shared" si="160"/>
        <v>-2.7316069215520635E-4</v>
      </c>
    </row>
    <row r="295" spans="2:31" x14ac:dyDescent="0.2">
      <c r="B295" s="6">
        <f t="shared" si="136"/>
        <v>280</v>
      </c>
      <c r="C295" s="6">
        <f t="shared" si="137"/>
        <v>1572.1099224360714</v>
      </c>
      <c r="D295" s="6">
        <f t="shared" si="138"/>
        <v>52390.330747869004</v>
      </c>
      <c r="E295" s="6">
        <f t="shared" si="139"/>
        <v>1.3305668336479304</v>
      </c>
      <c r="F295" s="6">
        <f t="shared" si="140"/>
        <v>-0.4103906766352976</v>
      </c>
      <c r="H295" s="6">
        <f t="shared" si="141"/>
        <v>393.2584820285839</v>
      </c>
      <c r="I295" s="6">
        <f t="shared" si="142"/>
        <v>1786.9222461692791</v>
      </c>
      <c r="J295" s="6">
        <f t="shared" si="143"/>
        <v>184.05533974374725</v>
      </c>
      <c r="K295" s="6">
        <f t="shared" si="144"/>
        <v>42.553293646193062</v>
      </c>
      <c r="L295" s="6">
        <f t="shared" si="145"/>
        <v>190.97798939442166</v>
      </c>
      <c r="M295" s="6">
        <f t="shared" si="146"/>
        <v>1684.9063640310915</v>
      </c>
      <c r="O295" s="6">
        <f t="shared" si="147"/>
        <v>9.1825459560456166E-2</v>
      </c>
      <c r="P295" s="6">
        <f t="shared" si="148"/>
        <v>0.41724454513194748</v>
      </c>
      <c r="Q295" s="6">
        <f t="shared" si="149"/>
        <v>4.2976736494896611E-2</v>
      </c>
      <c r="R295" s="6">
        <f t="shared" si="150"/>
        <v>9.9361512171750269E-3</v>
      </c>
      <c r="S295" s="6">
        <f t="shared" si="151"/>
        <v>4.4593168217539031E-2</v>
      </c>
      <c r="T295" s="6">
        <f t="shared" si="152"/>
        <v>0.39342393937798559</v>
      </c>
      <c r="V295" s="6">
        <f t="shared" si="153"/>
        <v>16.06945542307983</v>
      </c>
      <c r="W295" s="6">
        <f t="shared" si="154"/>
        <v>73.017795398090811</v>
      </c>
      <c r="X295" s="6">
        <f t="shared" si="155"/>
        <v>7.5209288866069066</v>
      </c>
      <c r="Y295" s="6">
        <f t="shared" si="156"/>
        <v>1.7388264630056298</v>
      </c>
      <c r="Z295" s="6">
        <f t="shared" si="157"/>
        <v>7.8038044380693306</v>
      </c>
      <c r="AA295" s="6">
        <f t="shared" si="158"/>
        <v>68.849189391147476</v>
      </c>
      <c r="AC295" s="14">
        <f t="shared" si="159"/>
        <v>8.4635737912406488E-4</v>
      </c>
      <c r="AD295" s="17"/>
      <c r="AE295" s="15">
        <f t="shared" si="160"/>
        <v>-2.6104451780278474E-4</v>
      </c>
    </row>
    <row r="296" spans="2:31" x14ac:dyDescent="0.2">
      <c r="B296" s="6">
        <f t="shared" si="136"/>
        <v>281</v>
      </c>
      <c r="C296" s="6">
        <f t="shared" si="137"/>
        <v>1619.2732201091537</v>
      </c>
      <c r="D296" s="6">
        <f t="shared" si="138"/>
        <v>53962.440670305077</v>
      </c>
      <c r="E296" s="6">
        <f t="shared" si="139"/>
        <v>1.3210316689087245</v>
      </c>
      <c r="F296" s="6">
        <f t="shared" si="140"/>
        <v>-0.40379341822905479</v>
      </c>
      <c r="H296" s="6">
        <f t="shared" si="141"/>
        <v>392.33830587157127</v>
      </c>
      <c r="I296" s="6">
        <f t="shared" si="142"/>
        <v>1783.3409363449705</v>
      </c>
      <c r="J296" s="6">
        <f t="shared" si="143"/>
        <v>185.38590657739519</v>
      </c>
      <c r="K296" s="6">
        <f t="shared" si="144"/>
        <v>42.142902969557767</v>
      </c>
      <c r="L296" s="6">
        <f t="shared" si="145"/>
        <v>191.89816555143429</v>
      </c>
      <c r="M296" s="6">
        <f t="shared" si="146"/>
        <v>1684.9063640310915</v>
      </c>
      <c r="O296" s="6">
        <f t="shared" si="147"/>
        <v>9.1667559011750596E-2</v>
      </c>
      <c r="P296" s="6">
        <f t="shared" si="148"/>
        <v>0.4166672182501221</v>
      </c>
      <c r="Q296" s="6">
        <f t="shared" si="149"/>
        <v>4.3314336828209329E-2</v>
      </c>
      <c r="R296" s="6">
        <f t="shared" si="150"/>
        <v>9.8464437121594302E-3</v>
      </c>
      <c r="S296" s="6">
        <f t="shared" si="151"/>
        <v>4.4835888190563285E-2</v>
      </c>
      <c r="T296" s="6">
        <f t="shared" si="152"/>
        <v>0.39366855400719541</v>
      </c>
      <c r="V296" s="6">
        <f t="shared" si="153"/>
        <v>16.041822827056354</v>
      </c>
      <c r="W296" s="6">
        <f t="shared" si="154"/>
        <v>72.916763193771374</v>
      </c>
      <c r="X296" s="6">
        <f t="shared" si="155"/>
        <v>7.5800089449366324</v>
      </c>
      <c r="Y296" s="6">
        <f t="shared" si="156"/>
        <v>1.7231276496279002</v>
      </c>
      <c r="Z296" s="6">
        <f t="shared" si="157"/>
        <v>7.8462804333485749</v>
      </c>
      <c r="AA296" s="6">
        <f t="shared" si="158"/>
        <v>68.891996951259202</v>
      </c>
      <c r="AC296" s="14">
        <f t="shared" si="159"/>
        <v>8.158176473885457E-4</v>
      </c>
      <c r="AD296" s="17"/>
      <c r="AE296" s="15">
        <f t="shared" si="160"/>
        <v>-2.4936706987708688E-4</v>
      </c>
    </row>
    <row r="297" spans="2:31" x14ac:dyDescent="0.2">
      <c r="B297" s="6">
        <f t="shared" si="136"/>
        <v>282</v>
      </c>
      <c r="C297" s="6">
        <f t="shared" si="137"/>
        <v>1667.8514167124283</v>
      </c>
      <c r="D297" s="6">
        <f t="shared" si="138"/>
        <v>55581.713890414234</v>
      </c>
      <c r="E297" s="6">
        <f t="shared" si="139"/>
        <v>1.3109630886399102</v>
      </c>
      <c r="F297" s="6">
        <f t="shared" si="140"/>
        <v>-0.39714365642210886</v>
      </c>
      <c r="H297" s="6">
        <f t="shared" si="141"/>
        <v>391.42106762089156</v>
      </c>
      <c r="I297" s="6">
        <f t="shared" si="142"/>
        <v>1779.7816347564733</v>
      </c>
      <c r="J297" s="6">
        <f t="shared" si="143"/>
        <v>186.70693824630391</v>
      </c>
      <c r="K297" s="6">
        <f t="shared" si="144"/>
        <v>41.73910955132871</v>
      </c>
      <c r="L297" s="6">
        <f t="shared" si="145"/>
        <v>192.81540380211396</v>
      </c>
      <c r="M297" s="6">
        <f t="shared" si="146"/>
        <v>1684.9063640310915</v>
      </c>
      <c r="O297" s="6">
        <f t="shared" si="147"/>
        <v>9.150974084965649E-2</v>
      </c>
      <c r="P297" s="6">
        <f t="shared" si="148"/>
        <v>0.4160924631764763</v>
      </c>
      <c r="Q297" s="6">
        <f t="shared" si="149"/>
        <v>4.3649933401898919E-2</v>
      </c>
      <c r="R297" s="6">
        <f t="shared" si="150"/>
        <v>9.7581234488811411E-3</v>
      </c>
      <c r="S297" s="6">
        <f t="shared" si="151"/>
        <v>4.5078022348155208E-2</v>
      </c>
      <c r="T297" s="6">
        <f t="shared" si="152"/>
        <v>0.39391171677493209</v>
      </c>
      <c r="V297" s="6">
        <f t="shared" si="153"/>
        <v>16.014204648689887</v>
      </c>
      <c r="W297" s="6">
        <f t="shared" si="154"/>
        <v>72.816181055883348</v>
      </c>
      <c r="X297" s="6">
        <f t="shared" si="155"/>
        <v>7.6387383453323112</v>
      </c>
      <c r="Y297" s="6">
        <f t="shared" si="156"/>
        <v>1.7076716035541997</v>
      </c>
      <c r="Z297" s="6">
        <f t="shared" si="157"/>
        <v>7.8886539109271618</v>
      </c>
      <c r="AA297" s="6">
        <f t="shared" si="158"/>
        <v>68.934550435613119</v>
      </c>
      <c r="AC297" s="14">
        <f t="shared" si="159"/>
        <v>7.8601911147697099E-4</v>
      </c>
      <c r="AD297" s="17"/>
      <c r="AE297" s="15">
        <f t="shared" si="160"/>
        <v>-2.3811692842815418E-4</v>
      </c>
    </row>
    <row r="298" spans="2:31" x14ac:dyDescent="0.2">
      <c r="B298" s="6">
        <f t="shared" si="136"/>
        <v>283</v>
      </c>
      <c r="C298" s="6">
        <f t="shared" si="137"/>
        <v>1717.8869592138012</v>
      </c>
      <c r="D298" s="6">
        <f t="shared" si="138"/>
        <v>57249.565307126664</v>
      </c>
      <c r="E298" s="6">
        <f t="shared" si="139"/>
        <v>1.3003637045878174</v>
      </c>
      <c r="F298" s="6">
        <f t="shared" si="140"/>
        <v>-0.39044594484248057</v>
      </c>
      <c r="H298" s="6">
        <f t="shared" si="141"/>
        <v>390.50724818867371</v>
      </c>
      <c r="I298" s="6">
        <f t="shared" si="142"/>
        <v>1776.2458891469755</v>
      </c>
      <c r="J298" s="6">
        <f t="shared" si="143"/>
        <v>188.01790133494382</v>
      </c>
      <c r="K298" s="6">
        <f t="shared" si="144"/>
        <v>41.3419658949066</v>
      </c>
      <c r="L298" s="6">
        <f t="shared" si="145"/>
        <v>193.72922323433176</v>
      </c>
      <c r="M298" s="6">
        <f t="shared" si="146"/>
        <v>1684.9063640310915</v>
      </c>
      <c r="O298" s="6">
        <f t="shared" si="147"/>
        <v>9.1352097041434446E-2</v>
      </c>
      <c r="P298" s="6">
        <f t="shared" si="148"/>
        <v>0.4155205507386785</v>
      </c>
      <c r="Q298" s="6">
        <f t="shared" si="149"/>
        <v>4.3983382249484206E-2</v>
      </c>
      <c r="R298" s="6">
        <f t="shared" si="150"/>
        <v>9.6712040502010838E-3</v>
      </c>
      <c r="S298" s="6">
        <f t="shared" si="151"/>
        <v>4.5319442552609938E-2</v>
      </c>
      <c r="T298" s="6">
        <f t="shared" si="152"/>
        <v>0.39415332336759179</v>
      </c>
      <c r="V298" s="6">
        <f t="shared" si="153"/>
        <v>15.986616982251029</v>
      </c>
      <c r="W298" s="6">
        <f t="shared" si="154"/>
        <v>72.716096379268734</v>
      </c>
      <c r="X298" s="6">
        <f t="shared" si="155"/>
        <v>7.6970918936597359</v>
      </c>
      <c r="Y298" s="6">
        <f t="shared" si="156"/>
        <v>1.6924607087851897</v>
      </c>
      <c r="Z298" s="6">
        <f t="shared" si="157"/>
        <v>7.9309024467067388</v>
      </c>
      <c r="AA298" s="6">
        <f t="shared" si="158"/>
        <v>68.976831589328569</v>
      </c>
      <c r="AC298" s="14">
        <f t="shared" si="159"/>
        <v>7.5695533842513982E-4</v>
      </c>
      <c r="AD298" s="17"/>
      <c r="AE298" s="15">
        <f t="shared" si="160"/>
        <v>-2.2728267581772081E-4</v>
      </c>
    </row>
    <row r="299" spans="2:31" x14ac:dyDescent="0.2">
      <c r="B299" s="6">
        <f t="shared" si="136"/>
        <v>284</v>
      </c>
      <c r="C299" s="6">
        <f t="shared" si="137"/>
        <v>1769.4235679902154</v>
      </c>
      <c r="D299" s="6">
        <f t="shared" si="138"/>
        <v>58967.452266340464</v>
      </c>
      <c r="E299" s="6">
        <f t="shared" si="139"/>
        <v>1.2892363982876605</v>
      </c>
      <c r="F299" s="6">
        <f t="shared" si="140"/>
        <v>-0.38370467430743127</v>
      </c>
      <c r="H299" s="6">
        <f t="shared" si="141"/>
        <v>389.59733042892839</v>
      </c>
      <c r="I299" s="6">
        <f t="shared" si="142"/>
        <v>1772.7352439780545</v>
      </c>
      <c r="J299" s="6">
        <f t="shared" si="143"/>
        <v>189.31826503953164</v>
      </c>
      <c r="K299" s="6">
        <f t="shared" si="144"/>
        <v>40.951519950064117</v>
      </c>
      <c r="L299" s="6">
        <f t="shared" si="145"/>
        <v>194.63914099407711</v>
      </c>
      <c r="M299" s="6">
        <f t="shared" si="146"/>
        <v>1684.9063640310915</v>
      </c>
      <c r="O299" s="6">
        <f t="shared" si="147"/>
        <v>9.1194720499605628E-2</v>
      </c>
      <c r="P299" s="6">
        <f t="shared" si="148"/>
        <v>0.41495175266317741</v>
      </c>
      <c r="Q299" s="6">
        <f t="shared" si="149"/>
        <v>4.4314539441896547E-2</v>
      </c>
      <c r="R299" s="6">
        <f t="shared" si="150"/>
        <v>9.5856981662798945E-3</v>
      </c>
      <c r="S299" s="6">
        <f t="shared" si="151"/>
        <v>4.5560019730361626E-2</v>
      </c>
      <c r="T299" s="6">
        <f t="shared" si="152"/>
        <v>0.39439326949867881</v>
      </c>
      <c r="V299" s="6">
        <f t="shared" si="153"/>
        <v>15.959076087430985</v>
      </c>
      <c r="W299" s="6">
        <f t="shared" si="154"/>
        <v>72.616556716056053</v>
      </c>
      <c r="X299" s="6">
        <f t="shared" si="155"/>
        <v>7.7550444023318956</v>
      </c>
      <c r="Y299" s="6">
        <f t="shared" si="156"/>
        <v>1.6774971790989814</v>
      </c>
      <c r="Z299" s="6">
        <f t="shared" si="157"/>
        <v>7.973003452813284</v>
      </c>
      <c r="AA299" s="6">
        <f t="shared" si="158"/>
        <v>69.018822162268791</v>
      </c>
      <c r="AC299" s="14">
        <f t="shared" si="159"/>
        <v>7.2861943381483758E-4</v>
      </c>
      <c r="AD299" s="17"/>
      <c r="AE299" s="15">
        <f t="shared" si="160"/>
        <v>-2.1685292388371369E-4</v>
      </c>
    </row>
    <row r="300" spans="2:31" x14ac:dyDescent="0.2">
      <c r="B300" s="6">
        <f t="shared" si="136"/>
        <v>285</v>
      </c>
      <c r="C300" s="6">
        <f t="shared" si="137"/>
        <v>1822.5062750299219</v>
      </c>
      <c r="D300" s="6">
        <f t="shared" si="138"/>
        <v>60736.875834330676</v>
      </c>
      <c r="E300" s="6">
        <f t="shared" si="139"/>
        <v>1.2775843346449263</v>
      </c>
      <c r="F300" s="6">
        <f t="shared" si="140"/>
        <v>-0.37692407582428838</v>
      </c>
      <c r="H300" s="6">
        <f t="shared" si="141"/>
        <v>388.69179870494816</v>
      </c>
      <c r="I300" s="6">
        <f t="shared" si="142"/>
        <v>1769.251239457499</v>
      </c>
      <c r="J300" s="6">
        <f t="shared" si="143"/>
        <v>190.60750143781931</v>
      </c>
      <c r="K300" s="6">
        <f t="shared" si="144"/>
        <v>40.567815275756686</v>
      </c>
      <c r="L300" s="6">
        <f t="shared" si="145"/>
        <v>195.54467271805734</v>
      </c>
      <c r="M300" s="6">
        <f t="shared" si="146"/>
        <v>1684.9063640310915</v>
      </c>
      <c r="O300" s="6">
        <f t="shared" si="147"/>
        <v>9.1037704989026122E-2</v>
      </c>
      <c r="P300" s="6">
        <f t="shared" si="148"/>
        <v>0.414386341378574</v>
      </c>
      <c r="Q300" s="6">
        <f t="shared" si="149"/>
        <v>4.4643261170950618E-2</v>
      </c>
      <c r="R300" s="6">
        <f t="shared" si="150"/>
        <v>9.5016175062832085E-3</v>
      </c>
      <c r="S300" s="6">
        <f t="shared" si="151"/>
        <v>4.5799623985880472E-2</v>
      </c>
      <c r="T300" s="6">
        <f t="shared" si="152"/>
        <v>0.39463145096928554</v>
      </c>
      <c r="V300" s="6">
        <f t="shared" si="153"/>
        <v>15.931598373079572</v>
      </c>
      <c r="W300" s="6">
        <f t="shared" si="154"/>
        <v>72.517609741250453</v>
      </c>
      <c r="X300" s="6">
        <f t="shared" si="155"/>
        <v>7.8125707049163582</v>
      </c>
      <c r="Y300" s="6">
        <f t="shared" si="156"/>
        <v>1.6627830635995615</v>
      </c>
      <c r="Z300" s="6">
        <f t="shared" si="157"/>
        <v>8.0149341975290831</v>
      </c>
      <c r="AA300" s="6">
        <f t="shared" si="158"/>
        <v>69.060503919624963</v>
      </c>
      <c r="AC300" s="14">
        <f t="shared" si="159"/>
        <v>7.0100408001281145E-4</v>
      </c>
      <c r="AD300" s="17"/>
      <c r="AE300" s="15">
        <f t="shared" si="160"/>
        <v>-2.0681633911965545E-4</v>
      </c>
    </row>
    <row r="301" spans="2:31" x14ac:dyDescent="0.2">
      <c r="B301" s="6">
        <f t="shared" si="136"/>
        <v>286</v>
      </c>
      <c r="C301" s="6">
        <f t="shared" si="137"/>
        <v>1877.1814632808196</v>
      </c>
      <c r="D301" s="6">
        <f t="shared" si="138"/>
        <v>62559.382109360595</v>
      </c>
      <c r="E301" s="6">
        <f t="shared" si="139"/>
        <v>1.2654109778476064</v>
      </c>
      <c r="F301" s="6">
        <f t="shared" si="140"/>
        <v>-0.37010822450072339</v>
      </c>
      <c r="H301" s="6">
        <f t="shared" si="141"/>
        <v>387.79113844612749</v>
      </c>
      <c r="I301" s="6">
        <f t="shared" si="142"/>
        <v>1765.7954105293884</v>
      </c>
      <c r="J301" s="6">
        <f t="shared" si="143"/>
        <v>191.88508577246424</v>
      </c>
      <c r="K301" s="6">
        <f t="shared" si="144"/>
        <v>40.190891199932395</v>
      </c>
      <c r="L301" s="6">
        <f t="shared" si="145"/>
        <v>196.44533297687798</v>
      </c>
      <c r="M301" s="6">
        <f t="shared" si="146"/>
        <v>1684.9063640310915</v>
      </c>
      <c r="O301" s="6">
        <f t="shared" si="147"/>
        <v>9.0881145031078317E-2</v>
      </c>
      <c r="P301" s="6">
        <f t="shared" si="148"/>
        <v>0.4138245898102893</v>
      </c>
      <c r="Q301" s="6">
        <f t="shared" si="149"/>
        <v>4.496940383750115E-2</v>
      </c>
      <c r="R301" s="6">
        <f t="shared" si="150"/>
        <v>9.4189728695328843E-3</v>
      </c>
      <c r="S301" s="6">
        <f t="shared" si="151"/>
        <v>4.6038124719629994E-2</v>
      </c>
      <c r="T301" s="6">
        <f t="shared" si="152"/>
        <v>0.39486776373196825</v>
      </c>
      <c r="V301" s="6">
        <f t="shared" si="153"/>
        <v>15.904200380438706</v>
      </c>
      <c r="W301" s="6">
        <f t="shared" si="154"/>
        <v>72.419303216800628</v>
      </c>
      <c r="X301" s="6">
        <f t="shared" si="155"/>
        <v>7.8696456715627008</v>
      </c>
      <c r="Y301" s="6">
        <f t="shared" si="156"/>
        <v>1.6483202521682547</v>
      </c>
      <c r="Z301" s="6">
        <f t="shared" si="157"/>
        <v>8.0566718259352488</v>
      </c>
      <c r="AA301" s="6">
        <f t="shared" si="158"/>
        <v>69.101858653094439</v>
      </c>
      <c r="AC301" s="14">
        <f t="shared" si="159"/>
        <v>6.7410157334283531E-4</v>
      </c>
      <c r="AD301" s="17"/>
      <c r="AE301" s="15">
        <f t="shared" si="160"/>
        <v>-1.9716166590195896E-4</v>
      </c>
    </row>
    <row r="302" spans="2:31" x14ac:dyDescent="0.2">
      <c r="B302" s="6">
        <f t="shared" si="136"/>
        <v>287</v>
      </c>
      <c r="C302" s="6">
        <f t="shared" si="137"/>
        <v>1933.4969071792443</v>
      </c>
      <c r="D302" s="6">
        <f t="shared" si="138"/>
        <v>64436.563572641411</v>
      </c>
      <c r="E302" s="6">
        <f t="shared" si="139"/>
        <v>1.2527201096264555</v>
      </c>
      <c r="F302" s="6">
        <f t="shared" si="140"/>
        <v>-0.36326104431331813</v>
      </c>
      <c r="H302" s="6">
        <f t="shared" si="141"/>
        <v>386.89583569278062</v>
      </c>
      <c r="I302" s="6">
        <f t="shared" si="142"/>
        <v>1762.3692858203462</v>
      </c>
      <c r="J302" s="6">
        <f t="shared" si="143"/>
        <v>193.15049675031185</v>
      </c>
      <c r="K302" s="6">
        <f t="shared" si="144"/>
        <v>39.820782975431669</v>
      </c>
      <c r="L302" s="6">
        <f t="shared" si="145"/>
        <v>197.34063573022488</v>
      </c>
      <c r="M302" s="6">
        <f t="shared" si="146"/>
        <v>1684.9063640310915</v>
      </c>
      <c r="O302" s="6">
        <f t="shared" si="147"/>
        <v>9.072513580473511E-2</v>
      </c>
      <c r="P302" s="6">
        <f t="shared" si="148"/>
        <v>0.41326677116553023</v>
      </c>
      <c r="Q302" s="6">
        <f t="shared" si="149"/>
        <v>4.5292824144891865E-2</v>
      </c>
      <c r="R302" s="6">
        <f t="shared" si="150"/>
        <v>9.3377741759042027E-3</v>
      </c>
      <c r="S302" s="6">
        <f t="shared" si="151"/>
        <v>4.6275390750481253E-2</v>
      </c>
      <c r="T302" s="6">
        <f t="shared" si="152"/>
        <v>0.3951021039584573</v>
      </c>
      <c r="V302" s="6">
        <f t="shared" si="153"/>
        <v>15.876898765828644</v>
      </c>
      <c r="W302" s="6">
        <f t="shared" si="154"/>
        <v>72.32168495396779</v>
      </c>
      <c r="X302" s="6">
        <f t="shared" si="155"/>
        <v>7.9262442253560765</v>
      </c>
      <c r="Y302" s="6">
        <f t="shared" si="156"/>
        <v>1.6341104807832354</v>
      </c>
      <c r="Z302" s="6">
        <f t="shared" si="157"/>
        <v>8.0981933813342195</v>
      </c>
      <c r="AA302" s="6">
        <f t="shared" si="158"/>
        <v>69.14286819273002</v>
      </c>
      <c r="AC302" s="14">
        <f t="shared" si="159"/>
        <v>6.4790386008635209E-4</v>
      </c>
      <c r="AD302" s="17"/>
      <c r="AE302" s="15">
        <f t="shared" si="160"/>
        <v>-1.878777478073525E-4</v>
      </c>
    </row>
    <row r="303" spans="2:31" x14ac:dyDescent="0.2">
      <c r="B303" s="6">
        <f t="shared" si="136"/>
        <v>288</v>
      </c>
      <c r="C303" s="6">
        <f t="shared" si="137"/>
        <v>1991.5018143946218</v>
      </c>
      <c r="D303" s="6">
        <f t="shared" si="138"/>
        <v>66370.060479820662</v>
      </c>
      <c r="E303" s="6">
        <f t="shared" si="139"/>
        <v>1.2395158498697183</v>
      </c>
      <c r="F303" s="6">
        <f t="shared" si="140"/>
        <v>-0.35638631368473561</v>
      </c>
      <c r="H303" s="6">
        <f t="shared" si="141"/>
        <v>386.00637662746749</v>
      </c>
      <c r="I303" s="6">
        <f t="shared" si="142"/>
        <v>1758.9743865357802</v>
      </c>
      <c r="J303" s="6">
        <f t="shared" si="143"/>
        <v>194.40321685993831</v>
      </c>
      <c r="K303" s="6">
        <f t="shared" si="144"/>
        <v>39.45752193111835</v>
      </c>
      <c r="L303" s="6">
        <f t="shared" si="145"/>
        <v>198.23009479553804</v>
      </c>
      <c r="M303" s="6">
        <f t="shared" si="146"/>
        <v>1684.9063640310915</v>
      </c>
      <c r="O303" s="6">
        <f t="shared" si="147"/>
        <v>9.0569773044236593E-2</v>
      </c>
      <c r="P303" s="6">
        <f t="shared" si="148"/>
        <v>0.41271315870753084</v>
      </c>
      <c r="Q303" s="6">
        <f t="shared" si="149"/>
        <v>4.5613379198309434E-2</v>
      </c>
      <c r="R303" s="6">
        <f t="shared" si="150"/>
        <v>9.2580304952793423E-3</v>
      </c>
      <c r="S303" s="6">
        <f t="shared" si="151"/>
        <v>4.651129044299792E-2</v>
      </c>
      <c r="T303" s="6">
        <f t="shared" si="152"/>
        <v>0.39533436811164585</v>
      </c>
      <c r="V303" s="6">
        <f t="shared" si="153"/>
        <v>15.849710282741404</v>
      </c>
      <c r="W303" s="6">
        <f t="shared" si="154"/>
        <v>72.224802773817899</v>
      </c>
      <c r="X303" s="6">
        <f t="shared" si="155"/>
        <v>7.9823413597041508</v>
      </c>
      <c r="Y303" s="6">
        <f t="shared" si="156"/>
        <v>1.620155336673885</v>
      </c>
      <c r="Z303" s="6">
        <f t="shared" si="157"/>
        <v>8.1394758275246364</v>
      </c>
      <c r="AA303" s="6">
        <f t="shared" si="158"/>
        <v>69.183514419538028</v>
      </c>
      <c r="AC303" s="14">
        <f t="shared" si="159"/>
        <v>6.224025712206078E-4</v>
      </c>
      <c r="AD303" s="17"/>
      <c r="AE303" s="15">
        <f t="shared" si="160"/>
        <v>-1.7895354707124392E-4</v>
      </c>
    </row>
    <row r="304" spans="2:31" x14ac:dyDescent="0.2">
      <c r="B304" s="6">
        <f t="shared" si="136"/>
        <v>289</v>
      </c>
      <c r="C304" s="6">
        <f t="shared" si="137"/>
        <v>2051.2468688264603</v>
      </c>
      <c r="D304" s="6">
        <f t="shared" si="138"/>
        <v>68361.562294215284</v>
      </c>
      <c r="E304" s="6">
        <f t="shared" si="139"/>
        <v>1.2258026795874657</v>
      </c>
      <c r="F304" s="6">
        <f t="shared" si="140"/>
        <v>-0.34948767182142176</v>
      </c>
      <c r="H304" s="6">
        <f t="shared" si="141"/>
        <v>385.12324709128251</v>
      </c>
      <c r="I304" s="6">
        <f t="shared" si="142"/>
        <v>1755.6122252998557</v>
      </c>
      <c r="J304" s="6">
        <f t="shared" si="143"/>
        <v>195.64273270980803</v>
      </c>
      <c r="K304" s="6">
        <f t="shared" si="144"/>
        <v>39.101135617433613</v>
      </c>
      <c r="L304" s="6">
        <f t="shared" si="145"/>
        <v>199.11322433172302</v>
      </c>
      <c r="M304" s="6">
        <f t="shared" si="146"/>
        <v>1684.9063640310915</v>
      </c>
      <c r="O304" s="6">
        <f t="shared" si="147"/>
        <v>9.0415152933107215E-2</v>
      </c>
      <c r="P304" s="6">
        <f t="shared" si="148"/>
        <v>0.41216402551803311</v>
      </c>
      <c r="Q304" s="6">
        <f t="shared" si="149"/>
        <v>4.5930926610658791E-2</v>
      </c>
      <c r="R304" s="6">
        <f t="shared" si="150"/>
        <v>9.1797500758775928E-3</v>
      </c>
      <c r="S304" s="6">
        <f t="shared" si="151"/>
        <v>4.6745691840019608E-2</v>
      </c>
      <c r="T304" s="6">
        <f t="shared" si="152"/>
        <v>0.39556445302230386</v>
      </c>
      <c r="V304" s="6">
        <f t="shared" si="153"/>
        <v>15.822651763293763</v>
      </c>
      <c r="W304" s="6">
        <f t="shared" si="154"/>
        <v>72.128704465655787</v>
      </c>
      <c r="X304" s="6">
        <f t="shared" si="155"/>
        <v>8.0379121568652891</v>
      </c>
      <c r="Y304" s="6">
        <f t="shared" si="156"/>
        <v>1.6064562632785788</v>
      </c>
      <c r="Z304" s="6">
        <f t="shared" si="157"/>
        <v>8.1804960720034323</v>
      </c>
      <c r="AA304" s="6">
        <f t="shared" si="158"/>
        <v>69.22377927890318</v>
      </c>
      <c r="AC304" s="14">
        <f t="shared" si="159"/>
        <v>5.9758905581596821E-4</v>
      </c>
      <c r="AD304" s="17"/>
      <c r="AE304" s="15">
        <f t="shared" si="160"/>
        <v>-1.7037816224497996E-4</v>
      </c>
    </row>
    <row r="305" spans="2:31" x14ac:dyDescent="0.2">
      <c r="B305" s="6">
        <f t="shared" si="136"/>
        <v>290</v>
      </c>
      <c r="C305" s="6">
        <f t="shared" si="137"/>
        <v>2112.784274891254</v>
      </c>
      <c r="D305" s="6">
        <f t="shared" si="138"/>
        <v>70412.809163041748</v>
      </c>
      <c r="E305" s="6">
        <f t="shared" si="139"/>
        <v>1.2115854662086367</v>
      </c>
      <c r="F305" s="6">
        <f t="shared" si="140"/>
        <v>-0.34256862576497399</v>
      </c>
      <c r="H305" s="6">
        <f t="shared" si="141"/>
        <v>384.24693208351647</v>
      </c>
      <c r="I305" s="6">
        <f t="shared" si="142"/>
        <v>1752.2843049329147</v>
      </c>
      <c r="J305" s="6">
        <f t="shared" si="143"/>
        <v>196.8685353893955</v>
      </c>
      <c r="K305" s="6">
        <f t="shared" si="144"/>
        <v>38.751647945612191</v>
      </c>
      <c r="L305" s="6">
        <f t="shared" si="145"/>
        <v>199.98953933948906</v>
      </c>
      <c r="M305" s="6">
        <f t="shared" si="146"/>
        <v>1684.9063640310915</v>
      </c>
      <c r="O305" s="6">
        <f t="shared" si="147"/>
        <v>9.0261371994230469E-2</v>
      </c>
      <c r="P305" s="6">
        <f t="shared" si="148"/>
        <v>0.41161964424695618</v>
      </c>
      <c r="Q305" s="6">
        <f t="shared" si="149"/>
        <v>4.6245324615576393E-2</v>
      </c>
      <c r="R305" s="6">
        <f t="shared" si="150"/>
        <v>9.1029403712925769E-3</v>
      </c>
      <c r="S305" s="6">
        <f t="shared" si="151"/>
        <v>4.6978462800980635E-2</v>
      </c>
      <c r="T305" s="6">
        <f t="shared" si="152"/>
        <v>0.39579225597096368</v>
      </c>
      <c r="V305" s="6">
        <f t="shared" si="153"/>
        <v>15.795740098990333</v>
      </c>
      <c r="W305" s="6">
        <f t="shared" si="154"/>
        <v>72.033437743217334</v>
      </c>
      <c r="X305" s="6">
        <f t="shared" si="155"/>
        <v>8.0929318077258685</v>
      </c>
      <c r="Y305" s="6">
        <f t="shared" si="156"/>
        <v>1.5930145649762009</v>
      </c>
      <c r="Z305" s="6">
        <f t="shared" si="157"/>
        <v>8.2212309901716107</v>
      </c>
      <c r="AA305" s="6">
        <f t="shared" si="158"/>
        <v>69.263644794918648</v>
      </c>
      <c r="AC305" s="14">
        <f t="shared" si="159"/>
        <v>5.7345441302614653E-4</v>
      </c>
      <c r="AD305" s="17"/>
      <c r="AE305" s="15">
        <f t="shared" si="160"/>
        <v>-1.621408441155717E-4</v>
      </c>
    </row>
    <row r="306" spans="2:31" x14ac:dyDescent="0.2">
      <c r="B306" s="6">
        <f t="shared" si="136"/>
        <v>291</v>
      </c>
      <c r="C306" s="6">
        <f t="shared" si="137"/>
        <v>2176.1678031379915</v>
      </c>
      <c r="D306" s="6">
        <f t="shared" si="138"/>
        <v>72525.593437932999</v>
      </c>
      <c r="E306" s="6">
        <f t="shared" si="139"/>
        <v>1.1968694911807967</v>
      </c>
      <c r="F306" s="6">
        <f t="shared" si="140"/>
        <v>-0.3356325581125415</v>
      </c>
      <c r="H306" s="6">
        <f t="shared" si="141"/>
        <v>383.37791524307278</v>
      </c>
      <c r="I306" s="6">
        <f t="shared" si="142"/>
        <v>1748.9921171600536</v>
      </c>
      <c r="J306" s="6">
        <f t="shared" si="143"/>
        <v>198.08012085560415</v>
      </c>
      <c r="K306" s="6">
        <f t="shared" si="144"/>
        <v>38.409079319847216</v>
      </c>
      <c r="L306" s="6">
        <f t="shared" si="145"/>
        <v>200.85855617993272</v>
      </c>
      <c r="M306" s="6">
        <f t="shared" si="146"/>
        <v>1684.9063640310915</v>
      </c>
      <c r="O306" s="6">
        <f t="shared" si="147"/>
        <v>9.0108526975692049E-2</v>
      </c>
      <c r="P306" s="6">
        <f t="shared" si="148"/>
        <v>0.41108028684820569</v>
      </c>
      <c r="Q306" s="6">
        <f t="shared" si="149"/>
        <v>4.6556432188194635E-2</v>
      </c>
      <c r="R306" s="6">
        <f t="shared" si="150"/>
        <v>9.0276080660764788E-3</v>
      </c>
      <c r="S306" s="6">
        <f t="shared" si="151"/>
        <v>4.720947114640834E-2</v>
      </c>
      <c r="T306" s="6">
        <f t="shared" si="152"/>
        <v>0.39601767477542282</v>
      </c>
      <c r="V306" s="6">
        <f t="shared" si="153"/>
        <v>15.768992220746108</v>
      </c>
      <c r="W306" s="6">
        <f t="shared" si="154"/>
        <v>71.939050198435993</v>
      </c>
      <c r="X306" s="6">
        <f t="shared" si="155"/>
        <v>8.147375632934061</v>
      </c>
      <c r="Y306" s="6">
        <f t="shared" si="156"/>
        <v>1.5798314115633838</v>
      </c>
      <c r="Z306" s="6">
        <f t="shared" si="157"/>
        <v>8.2616574506214597</v>
      </c>
      <c r="AA306" s="6">
        <f t="shared" si="158"/>
        <v>69.30309308569899</v>
      </c>
      <c r="AC306" s="14">
        <f t="shared" si="159"/>
        <v>5.4998952261628637E-4</v>
      </c>
      <c r="AD306" s="17"/>
      <c r="AE306" s="15">
        <f t="shared" si="160"/>
        <v>-1.5423100995638566E-4</v>
      </c>
    </row>
    <row r="307" spans="2:31" x14ac:dyDescent="0.2">
      <c r="B307" s="6">
        <f t="shared" si="136"/>
        <v>292</v>
      </c>
      <c r="C307" s="6">
        <f t="shared" si="137"/>
        <v>2241.4528372321315</v>
      </c>
      <c r="D307" s="6">
        <f t="shared" si="138"/>
        <v>74701.761241070984</v>
      </c>
      <c r="E307" s="6">
        <f t="shared" si="139"/>
        <v>1.1816604798286363</v>
      </c>
      <c r="F307" s="6">
        <f t="shared" si="140"/>
        <v>-0.32868273536197129</v>
      </c>
      <c r="H307" s="6">
        <f t="shared" si="141"/>
        <v>382.51667831000452</v>
      </c>
      <c r="I307" s="6">
        <f t="shared" si="142"/>
        <v>1745.7371412446237</v>
      </c>
      <c r="J307" s="6">
        <f t="shared" si="143"/>
        <v>199.27699034678494</v>
      </c>
      <c r="K307" s="6">
        <f t="shared" si="144"/>
        <v>38.073446761734672</v>
      </c>
      <c r="L307" s="6">
        <f t="shared" si="145"/>
        <v>201.71979311300097</v>
      </c>
      <c r="M307" s="6">
        <f t="shared" si="146"/>
        <v>1684.9063640310915</v>
      </c>
      <c r="O307" s="6">
        <f t="shared" si="147"/>
        <v>8.9956714732096973E-2</v>
      </c>
      <c r="P307" s="6">
        <f t="shared" si="148"/>
        <v>0.41054622430057264</v>
      </c>
      <c r="Q307" s="6">
        <f t="shared" si="149"/>
        <v>4.6864109174263223E-2</v>
      </c>
      <c r="R307" s="6">
        <f t="shared" si="150"/>
        <v>8.9537590997204614E-3</v>
      </c>
      <c r="S307" s="6">
        <f t="shared" si="151"/>
        <v>4.743858480904635E-2</v>
      </c>
      <c r="T307" s="6">
        <f t="shared" si="152"/>
        <v>0.39624060788430054</v>
      </c>
      <c r="V307" s="6">
        <f t="shared" si="153"/>
        <v>15.74242507811697</v>
      </c>
      <c r="W307" s="6">
        <f t="shared" si="154"/>
        <v>71.845589252600206</v>
      </c>
      <c r="X307" s="6">
        <f t="shared" si="155"/>
        <v>8.2012191054960635</v>
      </c>
      <c r="Y307" s="6">
        <f t="shared" si="156"/>
        <v>1.5669078424510807</v>
      </c>
      <c r="Z307" s="6">
        <f t="shared" si="157"/>
        <v>8.3017523415831107</v>
      </c>
      <c r="AA307" s="6">
        <f t="shared" si="158"/>
        <v>69.342106379752593</v>
      </c>
      <c r="AC307" s="14">
        <f t="shared" si="159"/>
        <v>5.2718507398434274E-4</v>
      </c>
      <c r="AD307" s="17"/>
      <c r="AE307" s="15">
        <f t="shared" si="160"/>
        <v>-1.4663825618024009E-4</v>
      </c>
    </row>
    <row r="308" spans="2:31" x14ac:dyDescent="0.2">
      <c r="B308" s="6">
        <f t="shared" si="136"/>
        <v>293</v>
      </c>
      <c r="C308" s="6">
        <f t="shared" si="137"/>
        <v>2308.6964223490954</v>
      </c>
      <c r="D308" s="6">
        <f t="shared" si="138"/>
        <v>76943.214078303121</v>
      </c>
      <c r="E308" s="6">
        <f t="shared" si="139"/>
        <v>1.165964633411714</v>
      </c>
      <c r="F308" s="6">
        <f t="shared" si="140"/>
        <v>-0.3217223168409537</v>
      </c>
      <c r="H308" s="6">
        <f t="shared" si="141"/>
        <v>381.66370056553785</v>
      </c>
      <c r="I308" s="6">
        <f t="shared" si="142"/>
        <v>1742.5208425404999</v>
      </c>
      <c r="J308" s="6">
        <f t="shared" si="143"/>
        <v>200.45865082661356</v>
      </c>
      <c r="K308" s="6">
        <f t="shared" si="144"/>
        <v>37.7447640263727</v>
      </c>
      <c r="L308" s="6">
        <f t="shared" si="145"/>
        <v>202.57277085746765</v>
      </c>
      <c r="M308" s="6">
        <f t="shared" si="146"/>
        <v>1684.9063640310915</v>
      </c>
      <c r="O308" s="6">
        <f t="shared" si="147"/>
        <v>8.9806032101066885E-2</v>
      </c>
      <c r="P308" s="6">
        <f t="shared" si="148"/>
        <v>0.41001772631269284</v>
      </c>
      <c r="Q308" s="6">
        <f t="shared" si="149"/>
        <v>4.7168216428222026E-2</v>
      </c>
      <c r="R308" s="6">
        <f t="shared" si="150"/>
        <v>8.881398688889864E-3</v>
      </c>
      <c r="S308" s="6">
        <f t="shared" si="151"/>
        <v>4.7665671992047097E-2</v>
      </c>
      <c r="T308" s="6">
        <f t="shared" si="152"/>
        <v>0.3964609544770813</v>
      </c>
      <c r="V308" s="6">
        <f t="shared" si="153"/>
        <v>15.716055617686704</v>
      </c>
      <c r="W308" s="6">
        <f t="shared" si="154"/>
        <v>71.75310210472125</v>
      </c>
      <c r="X308" s="6">
        <f t="shared" si="155"/>
        <v>8.2544378749388549</v>
      </c>
      <c r="Y308" s="6">
        <f t="shared" si="156"/>
        <v>1.5542447705557263</v>
      </c>
      <c r="Z308" s="6">
        <f t="shared" si="157"/>
        <v>8.3414925986082427</v>
      </c>
      <c r="AA308" s="6">
        <f t="shared" si="158"/>
        <v>69.380667033489232</v>
      </c>
      <c r="AC308" s="14">
        <f t="shared" si="159"/>
        <v>5.0503159364077268E-4</v>
      </c>
      <c r="AD308" s="17"/>
      <c r="AE308" s="15">
        <f t="shared" si="160"/>
        <v>-1.3935236946986806E-4</v>
      </c>
    </row>
    <row r="309" spans="2:31" x14ac:dyDescent="0.2">
      <c r="B309" s="6">
        <f t="shared" si="136"/>
        <v>294</v>
      </c>
      <c r="C309" s="6">
        <f t="shared" si="137"/>
        <v>2377.9573150195683</v>
      </c>
      <c r="D309" s="6">
        <f t="shared" si="138"/>
        <v>79251.910500652215</v>
      </c>
      <c r="E309" s="6">
        <f t="shared" si="139"/>
        <v>1.1497886633051508</v>
      </c>
      <c r="F309" s="6">
        <f t="shared" si="140"/>
        <v>-0.31475436417811958</v>
      </c>
      <c r="H309" s="6">
        <f t="shared" si="141"/>
        <v>380.81945824896712</v>
      </c>
      <c r="I309" s="6">
        <f t="shared" si="142"/>
        <v>1739.3446709571058</v>
      </c>
      <c r="J309" s="6">
        <f t="shared" si="143"/>
        <v>201.62461546002527</v>
      </c>
      <c r="K309" s="6">
        <f t="shared" si="144"/>
        <v>37.423041709531745</v>
      </c>
      <c r="L309" s="6">
        <f t="shared" si="145"/>
        <v>203.4170131740384</v>
      </c>
      <c r="M309" s="6">
        <f t="shared" si="146"/>
        <v>1684.9063640310915</v>
      </c>
      <c r="O309" s="6">
        <f t="shared" si="147"/>
        <v>8.965657577462606E-2</v>
      </c>
      <c r="P309" s="6">
        <f t="shared" si="148"/>
        <v>0.40949506101105521</v>
      </c>
      <c r="Q309" s="6">
        <f t="shared" si="149"/>
        <v>4.7468615960803852E-2</v>
      </c>
      <c r="R309" s="6">
        <f t="shared" si="150"/>
        <v>8.810531347781321E-3</v>
      </c>
      <c r="S309" s="6">
        <f t="shared" si="151"/>
        <v>4.7890601334669977E-2</v>
      </c>
      <c r="T309" s="6">
        <f t="shared" si="152"/>
        <v>0.39667861457106351</v>
      </c>
      <c r="V309" s="6">
        <f t="shared" si="153"/>
        <v>15.68990076055956</v>
      </c>
      <c r="W309" s="6">
        <f t="shared" si="154"/>
        <v>71.661635676934665</v>
      </c>
      <c r="X309" s="6">
        <f t="shared" si="155"/>
        <v>8.3070077931406736</v>
      </c>
      <c r="Y309" s="6">
        <f t="shared" si="156"/>
        <v>1.5418429858617311</v>
      </c>
      <c r="Z309" s="6">
        <f t="shared" si="157"/>
        <v>8.3808552335672459</v>
      </c>
      <c r="AA309" s="6">
        <f t="shared" si="158"/>
        <v>69.418757549936117</v>
      </c>
      <c r="AC309" s="14">
        <f t="shared" si="159"/>
        <v>4.8351947112040117E-4</v>
      </c>
      <c r="AD309" s="17"/>
      <c r="AE309" s="15">
        <f t="shared" si="160"/>
        <v>-1.3236333646112123E-4</v>
      </c>
    </row>
    <row r="310" spans="2:31" x14ac:dyDescent="0.2">
      <c r="B310" s="6">
        <f t="shared" si="136"/>
        <v>295</v>
      </c>
      <c r="C310" s="6">
        <f t="shared" si="137"/>
        <v>2449.2960344701555</v>
      </c>
      <c r="D310" s="6">
        <f t="shared" si="138"/>
        <v>81629.86781567178</v>
      </c>
      <c r="E310" s="6">
        <f t="shared" si="139"/>
        <v>1.133139827208316</v>
      </c>
      <c r="F310" s="6">
        <f t="shared" si="140"/>
        <v>-0.30778185127773339</v>
      </c>
      <c r="H310" s="6">
        <f t="shared" si="141"/>
        <v>379.98442394984005</v>
      </c>
      <c r="I310" s="6">
        <f t="shared" si="142"/>
        <v>1736.2100593313685</v>
      </c>
      <c r="J310" s="6">
        <f t="shared" si="143"/>
        <v>202.77440412333041</v>
      </c>
      <c r="K310" s="6">
        <f t="shared" si="144"/>
        <v>37.108287345353624</v>
      </c>
      <c r="L310" s="6">
        <f t="shared" si="145"/>
        <v>204.25204747316542</v>
      </c>
      <c r="M310" s="6">
        <f t="shared" si="146"/>
        <v>1684.9063640310915</v>
      </c>
      <c r="O310" s="6">
        <f t="shared" si="147"/>
        <v>8.9508442165190938E-2</v>
      </c>
      <c r="P310" s="6">
        <f t="shared" si="148"/>
        <v>0.4089784946100814</v>
      </c>
      <c r="Q310" s="6">
        <f t="shared" si="149"/>
        <v>4.7765171096723888E-2</v>
      </c>
      <c r="R310" s="6">
        <f t="shared" si="150"/>
        <v>8.7411609064779149E-3</v>
      </c>
      <c r="S310" s="6">
        <f t="shared" si="151"/>
        <v>4.811324208590987E-2</v>
      </c>
      <c r="T310" s="6">
        <f t="shared" si="152"/>
        <v>0.3968934891356159</v>
      </c>
      <c r="V310" s="6">
        <f t="shared" si="153"/>
        <v>15.663977378908415</v>
      </c>
      <c r="W310" s="6">
        <f t="shared" si="154"/>
        <v>71.571236556764248</v>
      </c>
      <c r="X310" s="6">
        <f t="shared" si="155"/>
        <v>8.3589049419266797</v>
      </c>
      <c r="Y310" s="6">
        <f t="shared" si="156"/>
        <v>1.5297031586336352</v>
      </c>
      <c r="Z310" s="6">
        <f t="shared" si="157"/>
        <v>8.419817365034227</v>
      </c>
      <c r="AA310" s="6">
        <f t="shared" si="158"/>
        <v>69.456360598732786</v>
      </c>
      <c r="AC310" s="14">
        <f t="shared" si="159"/>
        <v>4.6263898330829685E-4</v>
      </c>
      <c r="AD310" s="17"/>
      <c r="AE310" s="15">
        <f t="shared" si="160"/>
        <v>-1.2566135205633252E-4</v>
      </c>
    </row>
    <row r="311" spans="2:31" x14ac:dyDescent="0.2">
      <c r="B311" s="6">
        <f t="shared" si="136"/>
        <v>296</v>
      </c>
      <c r="C311" s="6">
        <f t="shared" si="137"/>
        <v>2522.7749155042602</v>
      </c>
      <c r="D311" s="6">
        <f t="shared" si="138"/>
        <v>84079.163850141937</v>
      </c>
      <c r="E311" s="6">
        <f t="shared" si="139"/>
        <v>1.1160259672661144</v>
      </c>
      <c r="F311" s="6">
        <f t="shared" si="140"/>
        <v>-0.30080767475759901</v>
      </c>
      <c r="H311" s="6">
        <f t="shared" si="141"/>
        <v>379.15906597390949</v>
      </c>
      <c r="I311" s="6">
        <f t="shared" si="142"/>
        <v>1733.1184217010211</v>
      </c>
      <c r="J311" s="6">
        <f t="shared" si="143"/>
        <v>203.90754395053872</v>
      </c>
      <c r="K311" s="6">
        <f t="shared" si="144"/>
        <v>36.800505494075892</v>
      </c>
      <c r="L311" s="6">
        <f t="shared" si="145"/>
        <v>205.07740544909601</v>
      </c>
      <c r="M311" s="6">
        <f t="shared" si="146"/>
        <v>1684.9063640310915</v>
      </c>
      <c r="O311" s="6">
        <f t="shared" si="147"/>
        <v>8.9361727265890423E-2</v>
      </c>
      <c r="P311" s="6">
        <f t="shared" si="148"/>
        <v>0.40846829106334559</v>
      </c>
      <c r="Q311" s="6">
        <f t="shared" si="149"/>
        <v>4.8057746642986655E-2</v>
      </c>
      <c r="R311" s="6">
        <f t="shared" si="150"/>
        <v>8.6732905271868204E-3</v>
      </c>
      <c r="S311" s="6">
        <f t="shared" si="151"/>
        <v>4.8333464286462798E-2</v>
      </c>
      <c r="T311" s="6">
        <f t="shared" si="152"/>
        <v>0.39710548021412778</v>
      </c>
      <c r="V311" s="6">
        <f t="shared" si="153"/>
        <v>15.638302271530824</v>
      </c>
      <c r="W311" s="6">
        <f t="shared" si="154"/>
        <v>71.481950936085482</v>
      </c>
      <c r="X311" s="6">
        <f t="shared" si="155"/>
        <v>8.410105662522664</v>
      </c>
      <c r="Y311" s="6">
        <f t="shared" si="156"/>
        <v>1.5178258422576936</v>
      </c>
      <c r="Z311" s="6">
        <f t="shared" si="157"/>
        <v>8.4583562501309899</v>
      </c>
      <c r="AA311" s="6">
        <f t="shared" si="158"/>
        <v>69.493459037472363</v>
      </c>
      <c r="AC311" s="14">
        <f t="shared" si="159"/>
        <v>4.4238031716873944E-4</v>
      </c>
      <c r="AD311" s="17"/>
      <c r="AE311" s="15">
        <f t="shared" si="160"/>
        <v>-1.1923682644413507E-4</v>
      </c>
    </row>
    <row r="312" spans="2:31" x14ac:dyDescent="0.2">
      <c r="B312" s="6">
        <f t="shared" si="136"/>
        <v>297</v>
      </c>
      <c r="C312" s="6">
        <f t="shared" si="137"/>
        <v>2598.458162969388</v>
      </c>
      <c r="D312" s="6">
        <f t="shared" si="138"/>
        <v>86601.938765646191</v>
      </c>
      <c r="E312" s="6">
        <f t="shared" si="139"/>
        <v>1.0984555499648365</v>
      </c>
      <c r="F312" s="6">
        <f t="shared" si="140"/>
        <v>-0.29383466481313825</v>
      </c>
      <c r="H312" s="6">
        <f t="shared" si="141"/>
        <v>378.34384768140097</v>
      </c>
      <c r="I312" s="6">
        <f t="shared" si="142"/>
        <v>1730.0711514739803</v>
      </c>
      <c r="J312" s="6">
        <f t="shared" si="143"/>
        <v>205.02356991780485</v>
      </c>
      <c r="K312" s="6">
        <f t="shared" si="144"/>
        <v>36.499697819318293</v>
      </c>
      <c r="L312" s="6">
        <f t="shared" si="145"/>
        <v>205.89262374160452</v>
      </c>
      <c r="M312" s="6">
        <f t="shared" si="146"/>
        <v>1684.9063640310915</v>
      </c>
      <c r="O312" s="6">
        <f t="shared" si="147"/>
        <v>8.9216526504958066E-2</v>
      </c>
      <c r="P312" s="6">
        <f t="shared" si="148"/>
        <v>0.40796471169505799</v>
      </c>
      <c r="Q312" s="6">
        <f t="shared" si="149"/>
        <v>4.8346209068307659E-2</v>
      </c>
      <c r="R312" s="6">
        <f t="shared" si="150"/>
        <v>8.6069227182526513E-3</v>
      </c>
      <c r="S312" s="6">
        <f t="shared" si="151"/>
        <v>4.8551138959411766E-2</v>
      </c>
      <c r="T312" s="6">
        <f t="shared" si="152"/>
        <v>0.39731449105401184</v>
      </c>
      <c r="V312" s="6">
        <f t="shared" si="153"/>
        <v>15.612892138367661</v>
      </c>
      <c r="W312" s="6">
        <f t="shared" si="154"/>
        <v>71.393824546635145</v>
      </c>
      <c r="X312" s="6">
        <f t="shared" si="155"/>
        <v>8.4605865869538412</v>
      </c>
      <c r="Y312" s="6">
        <f t="shared" si="156"/>
        <v>1.506211475694214</v>
      </c>
      <c r="Z312" s="6">
        <f t="shared" si="157"/>
        <v>8.4964493178970599</v>
      </c>
      <c r="AA312" s="6">
        <f t="shared" si="158"/>
        <v>69.530035934452073</v>
      </c>
      <c r="AC312" s="14">
        <f t="shared" si="159"/>
        <v>4.227335908728184E-4</v>
      </c>
      <c r="AD312" s="17"/>
      <c r="AE312" s="15">
        <f t="shared" si="160"/>
        <v>-1.1308039090279549E-4</v>
      </c>
    </row>
    <row r="313" spans="2:31" x14ac:dyDescent="0.2">
      <c r="B313" s="6">
        <f t="shared" si="136"/>
        <v>298</v>
      </c>
      <c r="C313" s="6">
        <f t="shared" si="137"/>
        <v>2676.4119078584699</v>
      </c>
      <c r="D313" s="6">
        <f t="shared" si="138"/>
        <v>89200.396928615577</v>
      </c>
      <c r="E313" s="6">
        <f t="shared" si="139"/>
        <v>1.0804377076396936</v>
      </c>
      <c r="F313" s="6">
        <f t="shared" si="140"/>
        <v>-0.28686559646657167</v>
      </c>
      <c r="H313" s="6">
        <f t="shared" si="141"/>
        <v>377.53922679624924</v>
      </c>
      <c r="I313" s="6">
        <f t="shared" si="142"/>
        <v>1727.069619488899</v>
      </c>
      <c r="J313" s="6">
        <f t="shared" si="143"/>
        <v>206.12202546776967</v>
      </c>
      <c r="K313" s="6">
        <f t="shared" si="144"/>
        <v>36.205863154505153</v>
      </c>
      <c r="L313" s="6">
        <f t="shared" si="145"/>
        <v>206.6972446267562</v>
      </c>
      <c r="M313" s="6">
        <f t="shared" si="146"/>
        <v>1684.9063640310915</v>
      </c>
      <c r="O313" s="6">
        <f t="shared" si="147"/>
        <v>8.9072934593959791E-2</v>
      </c>
      <c r="P313" s="6">
        <f t="shared" si="148"/>
        <v>0.4074680148110057</v>
      </c>
      <c r="Q313" s="6">
        <f t="shared" si="149"/>
        <v>4.8630426694107866E-2</v>
      </c>
      <c r="R313" s="6">
        <f t="shared" si="150"/>
        <v>8.5420593458479157E-3</v>
      </c>
      <c r="S313" s="6">
        <f t="shared" si="151"/>
        <v>4.8766138309985205E-2</v>
      </c>
      <c r="T313" s="6">
        <f t="shared" si="152"/>
        <v>0.39752042624509348</v>
      </c>
      <c r="V313" s="6">
        <f t="shared" si="153"/>
        <v>15.587763553942963</v>
      </c>
      <c r="W313" s="6">
        <f t="shared" si="154"/>
        <v>71.30690259192599</v>
      </c>
      <c r="X313" s="6">
        <f t="shared" si="155"/>
        <v>8.5103246714688758</v>
      </c>
      <c r="Y313" s="6">
        <f t="shared" si="156"/>
        <v>1.4948603855233853</v>
      </c>
      <c r="Z313" s="6">
        <f t="shared" si="157"/>
        <v>8.5340742042474105</v>
      </c>
      <c r="AA313" s="6">
        <f t="shared" si="158"/>
        <v>69.566074592891354</v>
      </c>
      <c r="AC313" s="14">
        <f t="shared" si="159"/>
        <v>4.0368887332600659E-4</v>
      </c>
      <c r="AD313" s="17"/>
      <c r="AE313" s="15">
        <f t="shared" si="160"/>
        <v>-1.0718290246141787E-4</v>
      </c>
    </row>
    <row r="314" spans="2:31" x14ac:dyDescent="0.2">
      <c r="B314" s="6">
        <f t="shared" si="136"/>
        <v>299</v>
      </c>
      <c r="C314" s="6">
        <f t="shared" si="137"/>
        <v>2756.704265094224</v>
      </c>
      <c r="D314" s="6">
        <f t="shared" si="138"/>
        <v>91876.808836474054</v>
      </c>
      <c r="E314" s="6">
        <f t="shared" si="139"/>
        <v>1.0619822814036048</v>
      </c>
      <c r="F314" s="6">
        <f t="shared" si="140"/>
        <v>-0.27990320116360706</v>
      </c>
      <c r="H314" s="6">
        <f t="shared" si="141"/>
        <v>376.74565468507609</v>
      </c>
      <c r="I314" s="6">
        <f t="shared" si="142"/>
        <v>1724.1151719624465</v>
      </c>
      <c r="J314" s="6">
        <f t="shared" si="143"/>
        <v>207.20246317540938</v>
      </c>
      <c r="K314" s="6">
        <f t="shared" si="144"/>
        <v>35.918997558038583</v>
      </c>
      <c r="L314" s="6">
        <f t="shared" si="145"/>
        <v>207.49081673792932</v>
      </c>
      <c r="M314" s="6">
        <f t="shared" si="146"/>
        <v>1684.9063640310915</v>
      </c>
      <c r="O314" s="6">
        <f t="shared" si="147"/>
        <v>8.8931045369644218E-2</v>
      </c>
      <c r="P314" s="6">
        <f t="shared" si="148"/>
        <v>0.40697845528822757</v>
      </c>
      <c r="Q314" s="6">
        <f t="shared" si="149"/>
        <v>4.8910269897491927E-2</v>
      </c>
      <c r="R314" s="6">
        <f t="shared" si="150"/>
        <v>8.4787016432511068E-3</v>
      </c>
      <c r="S314" s="6">
        <f t="shared" si="151"/>
        <v>4.8978335934703146E-2</v>
      </c>
      <c r="T314" s="6">
        <f t="shared" si="152"/>
        <v>0.39772319186668204</v>
      </c>
      <c r="V314" s="6">
        <f t="shared" si="153"/>
        <v>15.562932939687737</v>
      </c>
      <c r="W314" s="6">
        <f t="shared" si="154"/>
        <v>71.22122967543983</v>
      </c>
      <c r="X314" s="6">
        <f t="shared" si="155"/>
        <v>8.5592972320610876</v>
      </c>
      <c r="Y314" s="6">
        <f t="shared" si="156"/>
        <v>1.4837727875689437</v>
      </c>
      <c r="Z314" s="6">
        <f t="shared" si="157"/>
        <v>8.5712087885730508</v>
      </c>
      <c r="AA314" s="6">
        <f t="shared" si="158"/>
        <v>69.601558576669362</v>
      </c>
      <c r="AC314" s="14">
        <f t="shared" si="159"/>
        <v>3.8523620210211646E-4</v>
      </c>
      <c r="AD314" s="17"/>
      <c r="AE314" s="15">
        <f t="shared" si="160"/>
        <v>-1.0153544749350907E-4</v>
      </c>
    </row>
    <row r="315" spans="2:31" x14ac:dyDescent="0.2">
      <c r="B315" s="6">
        <f t="shared" si="136"/>
        <v>300</v>
      </c>
      <c r="C315" s="6">
        <f t="shared" si="137"/>
        <v>2839.4053930470509</v>
      </c>
      <c r="D315" s="6">
        <f>D314+C314</f>
        <v>94633.513101568271</v>
      </c>
      <c r="E315" s="6">
        <f t="shared" si="139"/>
        <v>1.0430998652769239</v>
      </c>
      <c r="F315" s="6">
        <f t="shared" si="140"/>
        <v>-0.27295017867391241</v>
      </c>
      <c r="H315" s="6">
        <f t="shared" si="141"/>
        <v>375.96357560483608</v>
      </c>
      <c r="I315" s="6">
        <f t="shared" si="142"/>
        <v>1721.2091283193993</v>
      </c>
      <c r="J315" s="6">
        <f t="shared" si="143"/>
        <v>208.26444545681298</v>
      </c>
      <c r="K315" s="6">
        <f t="shared" si="144"/>
        <v>35.639094356874978</v>
      </c>
      <c r="L315" s="6">
        <f t="shared" si="145"/>
        <v>208.2728958181693</v>
      </c>
      <c r="M315" s="6">
        <f t="shared" si="146"/>
        <v>1684.9063640310915</v>
      </c>
      <c r="O315" s="6">
        <f t="shared" si="147"/>
        <v>8.8790951629236017E-2</v>
      </c>
      <c r="P315" s="6">
        <f t="shared" si="148"/>
        <v>0.40649628414280198</v>
      </c>
      <c r="Q315" s="6">
        <f t="shared" si="149"/>
        <v>4.9185611326566174E-2</v>
      </c>
      <c r="R315" s="6">
        <f t="shared" si="150"/>
        <v>8.4168502176314546E-3</v>
      </c>
      <c r="S315" s="6">
        <f t="shared" si="151"/>
        <v>4.9187607040180797E-2</v>
      </c>
      <c r="T315" s="6">
        <f t="shared" si="152"/>
        <v>0.39792269564358346</v>
      </c>
      <c r="V315" s="6">
        <f t="shared" si="153"/>
        <v>15.538416535116303</v>
      </c>
      <c r="W315" s="6">
        <f t="shared" si="154"/>
        <v>71.136849724990341</v>
      </c>
      <c r="X315" s="6">
        <f t="shared" si="155"/>
        <v>8.6074819821490802</v>
      </c>
      <c r="Y315" s="6">
        <f t="shared" si="156"/>
        <v>1.4729487880855046</v>
      </c>
      <c r="Z315" s="6">
        <f t="shared" si="157"/>
        <v>8.6078312320316392</v>
      </c>
      <c r="AA315" s="6">
        <f t="shared" si="158"/>
        <v>69.636471737627105</v>
      </c>
      <c r="AC315" s="14">
        <f t="shared" si="159"/>
        <v>3.6736559979466058E-4</v>
      </c>
      <c r="AD315" s="18"/>
      <c r="AE315" s="15">
        <f t="shared" si="160"/>
        <v>-9.6129344313529471E-5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49B62-9F5B-E840-94E9-EF4E6F1BD281}">
  <sheetPr codeName="Sheet3"/>
  <dimension ref="D1:AD36"/>
  <sheetViews>
    <sheetView workbookViewId="0">
      <selection activeCell="T5" sqref="T5"/>
    </sheetView>
  </sheetViews>
  <sheetFormatPr baseColWidth="10" defaultColWidth="8.83203125" defaultRowHeight="15" x14ac:dyDescent="0.2"/>
  <sheetData>
    <row r="1" spans="4:30" x14ac:dyDescent="0.2">
      <c r="E1">
        <v>11.847097804048623</v>
      </c>
      <c r="F1">
        <v>0.54352808254735863</v>
      </c>
      <c r="G1" t="str">
        <f ca="1">E3</f>
        <v>12˝</v>
      </c>
      <c r="H1">
        <f ca="1">OFFSET(F5,0,F2)</f>
        <v>60</v>
      </c>
      <c r="I1">
        <f ca="1">F3</f>
        <v>12.75</v>
      </c>
      <c r="J1">
        <f ca="1">OFFSET(F3,0,F2)</f>
        <v>0.56200000000000006</v>
      </c>
    </row>
    <row r="2" spans="4:30" x14ac:dyDescent="0.2">
      <c r="E2">
        <f>MATCH(E1,F6:F33)+1</f>
        <v>22</v>
      </c>
      <c r="F2">
        <f ca="1">IF(F1&lt;K3,5,MATCH(F1, G3:T3)+1)</f>
        <v>7</v>
      </c>
    </row>
    <row r="3" spans="4:30" x14ac:dyDescent="0.2">
      <c r="E3" t="str">
        <f ca="1">OFFSET(E5,$E$2,0)</f>
        <v>12˝</v>
      </c>
      <c r="F3">
        <f t="shared" ref="F3" ca="1" si="0">OFFSET(F5,$E$2,0)</f>
        <v>12.75</v>
      </c>
      <c r="G3">
        <f ca="1">OFFSET(G5,$E$2,0)</f>
        <v>0.16500000000000001</v>
      </c>
      <c r="H3">
        <f ca="1">IF(OFFSET(H5,$E$2,0)=0,G3+0.0001,OFFSET(H5,$E$2,0))</f>
        <v>0.18</v>
      </c>
      <c r="I3">
        <f t="shared" ref="I3:T3" ca="1" si="1">IF(OFFSET(I5,$E$2,0)=0,H3+0.0001,OFFSET(I5,$E$2,0))</f>
        <v>0.25</v>
      </c>
      <c r="J3">
        <f t="shared" ca="1" si="1"/>
        <v>0.33</v>
      </c>
      <c r="K3">
        <f t="shared" ca="1" si="1"/>
        <v>0.375</v>
      </c>
      <c r="L3">
        <f t="shared" ca="1" si="1"/>
        <v>0.40600000000000003</v>
      </c>
      <c r="M3">
        <f t="shared" ca="1" si="1"/>
        <v>0.56200000000000006</v>
      </c>
      <c r="N3">
        <f t="shared" ca="1" si="1"/>
        <v>0.68799999999999994</v>
      </c>
      <c r="O3">
        <f t="shared" ca="1" si="1"/>
        <v>0.5</v>
      </c>
      <c r="P3">
        <f t="shared" ca="1" si="1"/>
        <v>0.84399999999999997</v>
      </c>
      <c r="Q3">
        <f t="shared" ca="1" si="1"/>
        <v>1</v>
      </c>
      <c r="R3">
        <f t="shared" ca="1" si="1"/>
        <v>1.125</v>
      </c>
      <c r="S3">
        <f t="shared" ca="1" si="1"/>
        <v>1.3120000000000001</v>
      </c>
      <c r="T3">
        <f t="shared" ca="1" si="1"/>
        <v>1.3121</v>
      </c>
    </row>
    <row r="4" spans="4:30" x14ac:dyDescent="0.2"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  <c r="O4">
        <v>9</v>
      </c>
      <c r="P4">
        <v>10</v>
      </c>
      <c r="Q4">
        <v>11</v>
      </c>
      <c r="R4">
        <v>12</v>
      </c>
      <c r="S4">
        <v>13</v>
      </c>
      <c r="T4">
        <v>14</v>
      </c>
      <c r="U4">
        <v>15</v>
      </c>
      <c r="Y4" t="s">
        <v>151</v>
      </c>
    </row>
    <row r="5" spans="4:30" x14ac:dyDescent="0.2">
      <c r="E5" s="39" t="s">
        <v>115</v>
      </c>
      <c r="F5" s="39" t="s">
        <v>116</v>
      </c>
      <c r="G5" s="39">
        <v>5</v>
      </c>
      <c r="H5" s="39">
        <v>10</v>
      </c>
      <c r="I5" s="39">
        <v>20</v>
      </c>
      <c r="J5" s="39">
        <v>30</v>
      </c>
      <c r="K5" s="39" t="s">
        <v>117</v>
      </c>
      <c r="L5" s="39">
        <v>40</v>
      </c>
      <c r="M5" s="39">
        <v>60</v>
      </c>
      <c r="N5" s="39">
        <v>80</v>
      </c>
      <c r="O5" s="39" t="s">
        <v>118</v>
      </c>
      <c r="P5" s="39">
        <v>100</v>
      </c>
      <c r="Q5" s="39">
        <v>120</v>
      </c>
      <c r="R5" s="39">
        <v>140</v>
      </c>
      <c r="S5" s="39">
        <v>160</v>
      </c>
      <c r="T5" s="39" t="s">
        <v>119</v>
      </c>
      <c r="U5" t="s">
        <v>152</v>
      </c>
      <c r="W5">
        <v>3.0799856302081752</v>
      </c>
      <c r="X5">
        <v>0.35949022746000037</v>
      </c>
      <c r="Y5">
        <f>W5+2*X5</f>
        <v>3.7989660851281757</v>
      </c>
      <c r="AA5" t="s">
        <v>131</v>
      </c>
      <c r="AB5" t="s">
        <v>119</v>
      </c>
      <c r="AC5">
        <v>4</v>
      </c>
      <c r="AD5">
        <v>0.63600000000000001</v>
      </c>
    </row>
    <row r="6" spans="4:30" x14ac:dyDescent="0.2">
      <c r="D6">
        <v>1</v>
      </c>
      <c r="E6" s="39" t="s">
        <v>120</v>
      </c>
      <c r="F6" s="39">
        <v>0.40500000000000003</v>
      </c>
      <c r="G6" s="39">
        <v>3.5000000000000003E-2</v>
      </c>
      <c r="H6" s="39">
        <v>4.9000000000000002E-2</v>
      </c>
      <c r="I6" s="39"/>
      <c r="J6" s="39"/>
      <c r="K6" s="39">
        <v>6.8000000000000005E-2</v>
      </c>
      <c r="L6" s="39">
        <v>6.8000000000000005E-2</v>
      </c>
      <c r="M6" s="39"/>
      <c r="N6" s="39">
        <v>9.5000000000000001E-2</v>
      </c>
      <c r="O6" s="39">
        <v>9.5000000000000001E-2</v>
      </c>
      <c r="P6" s="39"/>
      <c r="Q6" s="39"/>
      <c r="R6" s="39"/>
      <c r="S6" s="39"/>
      <c r="T6" s="39"/>
      <c r="W6">
        <v>3.122211650583159</v>
      </c>
      <c r="X6">
        <v>0.35501797488659759</v>
      </c>
      <c r="Y6">
        <f t="shared" ref="Y6:Y29" si="2">W6+2*X6</f>
        <v>3.8322476003563541</v>
      </c>
      <c r="AA6" t="s">
        <v>131</v>
      </c>
      <c r="AB6" t="s">
        <v>119</v>
      </c>
      <c r="AC6">
        <v>4</v>
      </c>
      <c r="AD6">
        <v>0.63600000000000001</v>
      </c>
    </row>
    <row r="7" spans="4:30" x14ac:dyDescent="0.2">
      <c r="D7">
        <v>2</v>
      </c>
      <c r="E7" s="39" t="s">
        <v>121</v>
      </c>
      <c r="F7" s="39">
        <v>0.54</v>
      </c>
      <c r="G7" s="39">
        <v>4.9000000000000002E-2</v>
      </c>
      <c r="H7" s="39">
        <v>6.5000000000000002E-2</v>
      </c>
      <c r="I7" s="39"/>
      <c r="J7" s="39"/>
      <c r="K7" s="39">
        <v>8.7999999999999995E-2</v>
      </c>
      <c r="L7" s="39">
        <v>8.7999999999999995E-2</v>
      </c>
      <c r="M7" s="39"/>
      <c r="N7" s="39">
        <v>0.11899999999999999</v>
      </c>
      <c r="O7" s="39">
        <v>0.11899999999999999</v>
      </c>
      <c r="P7" s="39"/>
      <c r="Q7" s="39"/>
      <c r="R7" s="39"/>
      <c r="S7" s="39"/>
      <c r="T7" s="39"/>
      <c r="W7">
        <v>3.2030224379152541</v>
      </c>
      <c r="X7">
        <v>0.39947205513138906</v>
      </c>
      <c r="Y7">
        <f t="shared" si="2"/>
        <v>4.0019665481780322</v>
      </c>
      <c r="AA7" t="s">
        <v>132</v>
      </c>
      <c r="AB7">
        <v>120</v>
      </c>
      <c r="AC7">
        <v>4.5</v>
      </c>
      <c r="AD7">
        <v>0.438</v>
      </c>
    </row>
    <row r="8" spans="4:30" x14ac:dyDescent="0.2">
      <c r="D8">
        <v>3</v>
      </c>
      <c r="E8" s="39" t="s">
        <v>122</v>
      </c>
      <c r="F8" s="39">
        <v>0.67500000000000004</v>
      </c>
      <c r="G8" s="39">
        <v>4.9000000000000002E-2</v>
      </c>
      <c r="H8" s="39">
        <v>6.5000000000000002E-2</v>
      </c>
      <c r="I8" s="39"/>
      <c r="J8" s="39"/>
      <c r="K8" s="39">
        <v>9.0999999999999998E-2</v>
      </c>
      <c r="L8" s="39">
        <v>9.0999999999999998E-2</v>
      </c>
      <c r="M8" s="39"/>
      <c r="N8" s="39">
        <v>0.126</v>
      </c>
      <c r="O8" s="39">
        <v>0.126</v>
      </c>
      <c r="P8" s="39"/>
      <c r="Q8" s="39"/>
      <c r="R8" s="39"/>
      <c r="S8" s="39"/>
      <c r="T8" s="39"/>
      <c r="W8">
        <v>3.3612622983883851</v>
      </c>
      <c r="X8">
        <v>0.3821997570259632</v>
      </c>
      <c r="Y8">
        <f t="shared" si="2"/>
        <v>4.1256618124403115</v>
      </c>
      <c r="AA8" t="s">
        <v>132</v>
      </c>
      <c r="AB8">
        <v>120</v>
      </c>
      <c r="AC8">
        <v>4.5</v>
      </c>
      <c r="AD8">
        <v>0.438</v>
      </c>
    </row>
    <row r="9" spans="4:30" x14ac:dyDescent="0.2">
      <c r="D9">
        <v>4</v>
      </c>
      <c r="E9" s="39" t="s">
        <v>123</v>
      </c>
      <c r="F9" s="39">
        <v>0.84</v>
      </c>
      <c r="G9" s="39">
        <v>6.5000000000000002E-2</v>
      </c>
      <c r="H9" s="39">
        <v>8.3000000000000004E-2</v>
      </c>
      <c r="I9" s="39"/>
      <c r="J9" s="39"/>
      <c r="K9" s="39">
        <v>0.109</v>
      </c>
      <c r="L9" s="39">
        <v>0.109</v>
      </c>
      <c r="M9" s="39"/>
      <c r="N9" s="39">
        <v>0.14699999999999999</v>
      </c>
      <c r="O9" s="39">
        <v>0.14699999999999999</v>
      </c>
      <c r="P9" s="39"/>
      <c r="Q9" s="39"/>
      <c r="R9" s="39"/>
      <c r="S9" s="39">
        <v>0.188</v>
      </c>
      <c r="T9" s="39">
        <v>0.29399999999999998</v>
      </c>
      <c r="W9">
        <v>4.6337330796035729</v>
      </c>
      <c r="X9">
        <v>0.2203703720654181</v>
      </c>
      <c r="Y9">
        <f t="shared" si="2"/>
        <v>5.0744738237344089</v>
      </c>
      <c r="AA9" t="s">
        <v>134</v>
      </c>
      <c r="AB9" t="s">
        <v>117</v>
      </c>
      <c r="AC9">
        <v>5.5629999999999997</v>
      </c>
      <c r="AD9">
        <v>0.25800000000000001</v>
      </c>
    </row>
    <row r="10" spans="4:30" x14ac:dyDescent="0.2">
      <c r="D10">
        <v>5</v>
      </c>
      <c r="E10" s="39" t="s">
        <v>124</v>
      </c>
      <c r="F10" s="39">
        <v>1.05</v>
      </c>
      <c r="G10" s="39">
        <v>6.5000000000000002E-2</v>
      </c>
      <c r="H10" s="39">
        <v>8.3000000000000004E-2</v>
      </c>
      <c r="I10" s="39"/>
      <c r="J10" s="39"/>
      <c r="K10" s="39">
        <v>0.113</v>
      </c>
      <c r="L10" s="39">
        <v>0.113</v>
      </c>
      <c r="M10" s="39"/>
      <c r="N10" s="39">
        <v>0.154</v>
      </c>
      <c r="O10" s="39">
        <v>0.154</v>
      </c>
      <c r="P10" s="39"/>
      <c r="Q10" s="39"/>
      <c r="R10" s="39"/>
      <c r="S10" s="39">
        <v>0.219</v>
      </c>
      <c r="T10" s="39">
        <v>0.308</v>
      </c>
      <c r="W10">
        <v>8.0670924234524097</v>
      </c>
      <c r="X10">
        <v>0.59360105161917687</v>
      </c>
      <c r="Y10">
        <f t="shared" si="2"/>
        <v>9.2542945266907637</v>
      </c>
      <c r="AA10" t="s">
        <v>138</v>
      </c>
      <c r="AB10" t="s">
        <v>152</v>
      </c>
      <c r="AC10">
        <v>9.625</v>
      </c>
      <c r="AD10">
        <v>0</v>
      </c>
    </row>
    <row r="11" spans="4:30" x14ac:dyDescent="0.2">
      <c r="D11">
        <v>6</v>
      </c>
      <c r="E11" s="39" t="s">
        <v>125</v>
      </c>
      <c r="F11" s="39">
        <v>1.3149999999999999</v>
      </c>
      <c r="G11" s="39">
        <v>6.5000000000000002E-2</v>
      </c>
      <c r="H11" s="39">
        <v>0.109</v>
      </c>
      <c r="I11" s="39"/>
      <c r="J11" s="39"/>
      <c r="K11" s="39">
        <v>0.13300000000000001</v>
      </c>
      <c r="L11" s="39">
        <v>0.13300000000000001</v>
      </c>
      <c r="M11" s="39"/>
      <c r="N11" s="39">
        <v>0.17899999999999999</v>
      </c>
      <c r="O11" s="39">
        <v>0.17899999999999999</v>
      </c>
      <c r="P11" s="39"/>
      <c r="Q11" s="39"/>
      <c r="R11" s="39"/>
      <c r="S11" s="39">
        <v>0.25</v>
      </c>
      <c r="T11" s="39">
        <v>0.35799999999999998</v>
      </c>
      <c r="W11">
        <v>9.7352396362245148</v>
      </c>
      <c r="X11">
        <v>0.49588839207653296</v>
      </c>
      <c r="Y11">
        <f t="shared" si="2"/>
        <v>10.727016420377581</v>
      </c>
      <c r="AA11" t="s">
        <v>139</v>
      </c>
      <c r="AB11">
        <v>60</v>
      </c>
      <c r="AC11">
        <v>10.75</v>
      </c>
      <c r="AD11">
        <v>0.5</v>
      </c>
    </row>
    <row r="12" spans="4:30" x14ac:dyDescent="0.2">
      <c r="D12">
        <v>7</v>
      </c>
      <c r="E12" s="39" t="s">
        <v>126</v>
      </c>
      <c r="F12" s="39">
        <v>1.66</v>
      </c>
      <c r="G12" s="39">
        <v>6.5000000000000002E-2</v>
      </c>
      <c r="H12" s="39">
        <v>0.109</v>
      </c>
      <c r="I12" s="39"/>
      <c r="J12" s="39"/>
      <c r="K12" s="39">
        <v>0.14000000000000001</v>
      </c>
      <c r="L12" s="39">
        <v>0.14000000000000001</v>
      </c>
      <c r="M12" s="39"/>
      <c r="N12" s="39">
        <v>0.191</v>
      </c>
      <c r="O12" s="39">
        <v>0.191</v>
      </c>
      <c r="P12" s="39"/>
      <c r="Q12" s="39"/>
      <c r="R12" s="39"/>
      <c r="S12" s="39">
        <v>0.25</v>
      </c>
      <c r="T12" s="39">
        <v>0.38200000000000001</v>
      </c>
      <c r="W12">
        <v>9.476276500505346</v>
      </c>
      <c r="X12">
        <v>1.0724742811045511</v>
      </c>
      <c r="Y12">
        <f t="shared" si="2"/>
        <v>11.621225062714448</v>
      </c>
      <c r="AA12" t="s">
        <v>140</v>
      </c>
      <c r="AB12" t="s">
        <v>152</v>
      </c>
      <c r="AC12">
        <v>11.75</v>
      </c>
      <c r="AD12">
        <v>0</v>
      </c>
    </row>
    <row r="13" spans="4:30" x14ac:dyDescent="0.2">
      <c r="D13">
        <v>8</v>
      </c>
      <c r="E13" s="39" t="s">
        <v>127</v>
      </c>
      <c r="F13" s="39">
        <v>1.9</v>
      </c>
      <c r="G13" s="39">
        <v>6.5000000000000002E-2</v>
      </c>
      <c r="H13" s="39">
        <v>0.109</v>
      </c>
      <c r="I13" s="39"/>
      <c r="J13" s="39"/>
      <c r="K13" s="39">
        <v>0.14499999999999999</v>
      </c>
      <c r="L13" s="39">
        <v>0.14499999999999999</v>
      </c>
      <c r="M13" s="39"/>
      <c r="N13" s="39">
        <v>0.2</v>
      </c>
      <c r="O13" s="39">
        <v>0.2</v>
      </c>
      <c r="P13" s="39"/>
      <c r="Q13" s="39"/>
      <c r="R13" s="39"/>
      <c r="S13" s="39">
        <v>0.28100000000000003</v>
      </c>
      <c r="T13" s="39">
        <v>0.4</v>
      </c>
      <c r="W13">
        <v>9.4444464834752413</v>
      </c>
      <c r="X13">
        <v>2.0659105186332911</v>
      </c>
      <c r="Y13">
        <f t="shared" si="2"/>
        <v>13.576267520741823</v>
      </c>
      <c r="AA13" t="s">
        <v>142</v>
      </c>
      <c r="AB13" t="s">
        <v>152</v>
      </c>
      <c r="AC13">
        <v>14</v>
      </c>
      <c r="AD13">
        <v>0</v>
      </c>
    </row>
    <row r="14" spans="4:30" x14ac:dyDescent="0.2">
      <c r="D14">
        <v>9</v>
      </c>
      <c r="E14" s="39" t="s">
        <v>128</v>
      </c>
      <c r="F14" s="39">
        <v>2.375</v>
      </c>
      <c r="G14" s="39">
        <v>6.5000000000000002E-2</v>
      </c>
      <c r="H14" s="39">
        <v>0.109</v>
      </c>
      <c r="I14" s="39"/>
      <c r="J14" s="39"/>
      <c r="K14" s="39">
        <v>0.154</v>
      </c>
      <c r="L14" s="39">
        <v>0.154</v>
      </c>
      <c r="M14" s="39"/>
      <c r="N14" s="39">
        <v>0.218</v>
      </c>
      <c r="O14" s="39">
        <v>0.218</v>
      </c>
      <c r="P14" s="39"/>
      <c r="Q14" s="39"/>
      <c r="R14" s="39"/>
      <c r="S14" s="39">
        <v>0.34399999999999997</v>
      </c>
      <c r="T14" s="39">
        <v>0.436</v>
      </c>
      <c r="W14">
        <v>10.45516706875943</v>
      </c>
      <c r="X14">
        <v>1.1672888918172619</v>
      </c>
      <c r="Y14">
        <f t="shared" si="2"/>
        <v>12.789744852393953</v>
      </c>
      <c r="AA14" t="s">
        <v>142</v>
      </c>
      <c r="AB14">
        <v>140</v>
      </c>
      <c r="AC14">
        <v>14</v>
      </c>
      <c r="AD14">
        <v>1.25</v>
      </c>
    </row>
    <row r="15" spans="4:30" x14ac:dyDescent="0.2">
      <c r="D15">
        <v>10</v>
      </c>
      <c r="E15" s="39" t="s">
        <v>129</v>
      </c>
      <c r="F15" s="39">
        <v>2.875</v>
      </c>
      <c r="G15" s="39">
        <v>8.3000000000000004E-2</v>
      </c>
      <c r="H15" s="39">
        <v>0.12</v>
      </c>
      <c r="I15" s="39"/>
      <c r="J15" s="39"/>
      <c r="K15" s="39">
        <v>0.20300000000000001</v>
      </c>
      <c r="L15" s="39">
        <v>0.20300000000000001</v>
      </c>
      <c r="M15" s="39"/>
      <c r="N15" s="39">
        <v>0.27600000000000002</v>
      </c>
      <c r="O15" s="39">
        <v>0.27600000000000002</v>
      </c>
      <c r="P15" s="39"/>
      <c r="Q15" s="39"/>
      <c r="R15" s="39"/>
      <c r="S15" s="39">
        <v>0.375</v>
      </c>
      <c r="T15" s="39">
        <v>0.55200000000000005</v>
      </c>
      <c r="W15">
        <v>10.566877761273082</v>
      </c>
      <c r="X15">
        <v>1.1666454724540649</v>
      </c>
      <c r="Y15">
        <f t="shared" si="2"/>
        <v>12.900168706181212</v>
      </c>
      <c r="AA15" t="s">
        <v>142</v>
      </c>
      <c r="AB15">
        <v>140</v>
      </c>
      <c r="AC15">
        <v>14</v>
      </c>
      <c r="AD15">
        <v>1.25</v>
      </c>
    </row>
    <row r="16" spans="4:30" x14ac:dyDescent="0.2">
      <c r="D16">
        <v>11</v>
      </c>
      <c r="E16" s="39" t="s">
        <v>130</v>
      </c>
      <c r="F16" s="39">
        <v>3.5</v>
      </c>
      <c r="G16" s="39">
        <v>8.3000000000000004E-2</v>
      </c>
      <c r="H16" s="39">
        <v>0.12</v>
      </c>
      <c r="I16" s="39"/>
      <c r="J16" s="39"/>
      <c r="K16" s="39">
        <v>0.216</v>
      </c>
      <c r="L16" s="39">
        <v>0.216</v>
      </c>
      <c r="M16" s="39"/>
      <c r="N16" s="39">
        <v>0.3</v>
      </c>
      <c r="O16" s="39">
        <v>0.3</v>
      </c>
      <c r="P16" s="39"/>
      <c r="Q16" s="39"/>
      <c r="R16" s="39"/>
      <c r="S16" s="39">
        <v>0.438</v>
      </c>
      <c r="T16" s="39">
        <v>0.6</v>
      </c>
      <c r="W16">
        <v>10.188985052300042</v>
      </c>
      <c r="X16">
        <v>1.1058592557997087</v>
      </c>
      <c r="Y16">
        <f t="shared" si="2"/>
        <v>12.400703563899459</v>
      </c>
      <c r="AA16" t="s">
        <v>141</v>
      </c>
      <c r="AB16">
        <v>140</v>
      </c>
      <c r="AC16">
        <v>12.75</v>
      </c>
      <c r="AD16">
        <v>1.125</v>
      </c>
    </row>
    <row r="17" spans="4:30" x14ac:dyDescent="0.2">
      <c r="D17">
        <v>12</v>
      </c>
      <c r="E17" s="39" t="s">
        <v>131</v>
      </c>
      <c r="F17" s="39">
        <v>4</v>
      </c>
      <c r="G17" s="39">
        <v>8.3000000000000004E-2</v>
      </c>
      <c r="H17" s="39">
        <v>0.12</v>
      </c>
      <c r="I17" s="39"/>
      <c r="J17" s="39"/>
      <c r="K17" s="39">
        <v>0.22600000000000001</v>
      </c>
      <c r="L17" s="39">
        <v>0.22600000000000001</v>
      </c>
      <c r="M17" s="39"/>
      <c r="N17" s="39">
        <v>0.318</v>
      </c>
      <c r="O17" s="39">
        <v>0.318</v>
      </c>
      <c r="P17" s="39"/>
      <c r="Q17" s="39"/>
      <c r="R17" s="39"/>
      <c r="S17" s="39"/>
      <c r="T17" s="39">
        <v>0.63600000000000001</v>
      </c>
      <c r="W17">
        <v>12.253644469934688</v>
      </c>
      <c r="X17">
        <v>0.9304364121531975</v>
      </c>
      <c r="Y17">
        <f t="shared" si="2"/>
        <v>14.114517294241082</v>
      </c>
      <c r="AA17" t="s">
        <v>143</v>
      </c>
      <c r="AB17">
        <v>100</v>
      </c>
      <c r="AC17">
        <v>16</v>
      </c>
      <c r="AD17">
        <v>1.0309999999999999</v>
      </c>
    </row>
    <row r="18" spans="4:30" x14ac:dyDescent="0.2">
      <c r="D18">
        <v>13</v>
      </c>
      <c r="E18" s="39" t="s">
        <v>132</v>
      </c>
      <c r="F18" s="39">
        <v>4.5</v>
      </c>
      <c r="G18" s="39">
        <v>8.3000000000000004E-2</v>
      </c>
      <c r="H18" s="39">
        <v>0.12</v>
      </c>
      <c r="I18" s="39"/>
      <c r="J18" s="39"/>
      <c r="K18" s="39">
        <v>0.23699999999999999</v>
      </c>
      <c r="L18" s="39">
        <v>0.23699999999999999</v>
      </c>
      <c r="M18" s="39">
        <v>0.28100000000000003</v>
      </c>
      <c r="N18" s="39">
        <v>0.33700000000000002</v>
      </c>
      <c r="O18" s="39">
        <v>0.33700000000000002</v>
      </c>
      <c r="P18" s="39"/>
      <c r="Q18" s="39">
        <v>0.438</v>
      </c>
      <c r="R18" s="39"/>
      <c r="S18" s="39">
        <v>0.53100000000000003</v>
      </c>
      <c r="T18" s="39">
        <v>0.67400000000000004</v>
      </c>
      <c r="W18">
        <v>12.389618792242176</v>
      </c>
      <c r="X18">
        <v>0.92821562229137922</v>
      </c>
      <c r="Y18">
        <f t="shared" si="2"/>
        <v>14.246050036824935</v>
      </c>
      <c r="AA18" t="s">
        <v>143</v>
      </c>
      <c r="AB18">
        <v>100</v>
      </c>
      <c r="AC18">
        <v>16</v>
      </c>
      <c r="AD18">
        <v>1.0309999999999999</v>
      </c>
    </row>
    <row r="19" spans="4:30" x14ac:dyDescent="0.2">
      <c r="D19">
        <v>14</v>
      </c>
      <c r="E19" s="39" t="s">
        <v>133</v>
      </c>
      <c r="F19" s="39">
        <v>5</v>
      </c>
      <c r="G19" s="39"/>
      <c r="H19" s="39"/>
      <c r="I19" s="39"/>
      <c r="J19" s="39"/>
      <c r="K19" s="39">
        <v>0.247</v>
      </c>
      <c r="L19" s="39"/>
      <c r="M19" s="39"/>
      <c r="N19" s="39"/>
      <c r="O19" s="39">
        <v>0.35499999999999998</v>
      </c>
      <c r="P19" s="39"/>
      <c r="Q19" s="39"/>
      <c r="R19" s="39"/>
      <c r="S19" s="39"/>
      <c r="T19" s="39">
        <v>0.71</v>
      </c>
      <c r="W19">
        <v>10.47245223552993</v>
      </c>
      <c r="X19">
        <v>0.81310491095071558</v>
      </c>
      <c r="Y19">
        <f t="shared" si="2"/>
        <v>12.098662057431362</v>
      </c>
      <c r="AA19" t="s">
        <v>141</v>
      </c>
      <c r="AB19">
        <v>100</v>
      </c>
      <c r="AC19">
        <v>12.75</v>
      </c>
      <c r="AD19">
        <v>0.84399999999999997</v>
      </c>
    </row>
    <row r="20" spans="4:30" x14ac:dyDescent="0.2">
      <c r="D20">
        <v>15</v>
      </c>
      <c r="E20" s="39" t="s">
        <v>134</v>
      </c>
      <c r="F20" s="39">
        <v>5.5629999999999997</v>
      </c>
      <c r="G20" s="39">
        <v>0.109</v>
      </c>
      <c r="H20" s="39">
        <v>0.13400000000000001</v>
      </c>
      <c r="I20" s="39"/>
      <c r="J20" s="39"/>
      <c r="K20" s="39">
        <v>0.25800000000000001</v>
      </c>
      <c r="L20" s="39">
        <v>0.25800000000000001</v>
      </c>
      <c r="M20" s="39"/>
      <c r="N20" s="39">
        <v>0.375</v>
      </c>
      <c r="O20" s="39">
        <v>0.375</v>
      </c>
      <c r="P20" s="39"/>
      <c r="Q20" s="39">
        <v>0.5</v>
      </c>
      <c r="R20" s="39"/>
      <c r="S20" s="39">
        <v>0.625</v>
      </c>
      <c r="T20" s="39">
        <v>0.75</v>
      </c>
      <c r="W20">
        <v>4.8231819883904281</v>
      </c>
      <c r="X20">
        <v>0.39286466613629378</v>
      </c>
      <c r="Y20">
        <f t="shared" si="2"/>
        <v>5.6089113206630152</v>
      </c>
      <c r="AA20" t="s">
        <v>135</v>
      </c>
      <c r="AB20">
        <v>80</v>
      </c>
      <c r="AC20">
        <v>6.625</v>
      </c>
      <c r="AD20">
        <v>0.432</v>
      </c>
    </row>
    <row r="21" spans="4:30" x14ac:dyDescent="0.2">
      <c r="D21">
        <v>16</v>
      </c>
      <c r="E21" s="39" t="s">
        <v>135</v>
      </c>
      <c r="F21" s="39">
        <v>6.625</v>
      </c>
      <c r="G21" s="39">
        <v>0.109</v>
      </c>
      <c r="H21" s="39">
        <v>0.13400000000000001</v>
      </c>
      <c r="I21" s="39"/>
      <c r="J21" s="39"/>
      <c r="K21" s="39">
        <v>0.28000000000000003</v>
      </c>
      <c r="L21" s="39">
        <v>0.28000000000000003</v>
      </c>
      <c r="M21" s="39"/>
      <c r="N21" s="39">
        <v>0.432</v>
      </c>
      <c r="O21" s="39">
        <v>0.432</v>
      </c>
      <c r="P21" s="39"/>
      <c r="Q21" s="39">
        <v>0.56200000000000006</v>
      </c>
      <c r="R21" s="39"/>
      <c r="S21" s="39">
        <v>0.71899999999999997</v>
      </c>
      <c r="T21" s="39">
        <v>0.86399999999999999</v>
      </c>
      <c r="W21">
        <v>4.8231819883904281</v>
      </c>
      <c r="X21">
        <v>4.3207561393959967E-2</v>
      </c>
      <c r="Y21">
        <f t="shared" si="2"/>
        <v>4.9095971111783481</v>
      </c>
      <c r="AA21" t="s">
        <v>133</v>
      </c>
      <c r="AB21" t="s">
        <v>117</v>
      </c>
      <c r="AC21">
        <v>5</v>
      </c>
      <c r="AD21">
        <v>0.247</v>
      </c>
    </row>
    <row r="22" spans="4:30" x14ac:dyDescent="0.2">
      <c r="D22">
        <v>17</v>
      </c>
      <c r="E22" s="39" t="s">
        <v>136</v>
      </c>
      <c r="F22" s="39">
        <v>7.625</v>
      </c>
      <c r="G22" s="39"/>
      <c r="H22" s="39"/>
      <c r="I22" s="39"/>
      <c r="J22" s="39"/>
      <c r="K22" s="39">
        <v>0.30099999999999999</v>
      </c>
      <c r="L22" s="39"/>
      <c r="M22" s="39"/>
      <c r="N22" s="39"/>
      <c r="O22" s="39">
        <v>0.5</v>
      </c>
      <c r="P22" s="39"/>
      <c r="Q22" s="39"/>
      <c r="R22" s="39"/>
      <c r="S22" s="39"/>
      <c r="T22" s="39">
        <v>0.875</v>
      </c>
      <c r="W22">
        <v>3.9803340514022678</v>
      </c>
      <c r="X22">
        <v>4.2536963778989051E-2</v>
      </c>
      <c r="Y22">
        <f t="shared" si="2"/>
        <v>4.0654079789602457</v>
      </c>
      <c r="AA22" t="s">
        <v>132</v>
      </c>
      <c r="AB22" t="s">
        <v>117</v>
      </c>
      <c r="AC22">
        <v>4.5</v>
      </c>
      <c r="AD22">
        <v>0.23699999999999999</v>
      </c>
    </row>
    <row r="23" spans="4:30" x14ac:dyDescent="0.2">
      <c r="D23">
        <v>18</v>
      </c>
      <c r="E23" s="39" t="s">
        <v>137</v>
      </c>
      <c r="F23" s="39">
        <v>8.625</v>
      </c>
      <c r="G23" s="39">
        <v>0.109</v>
      </c>
      <c r="H23" s="39">
        <v>0.14799999999999999</v>
      </c>
      <c r="I23" s="39">
        <v>0.25</v>
      </c>
      <c r="J23" s="39">
        <v>0.27700000000000002</v>
      </c>
      <c r="K23" s="39">
        <v>0.32200000000000001</v>
      </c>
      <c r="L23" s="39">
        <v>0.32200000000000001</v>
      </c>
      <c r="M23" s="39">
        <v>0.40600000000000003</v>
      </c>
      <c r="N23" s="39">
        <v>0.5</v>
      </c>
      <c r="O23" s="39">
        <v>0.5</v>
      </c>
      <c r="P23" s="39">
        <v>0.59399999999999997</v>
      </c>
      <c r="Q23" s="39">
        <v>0.71899999999999997</v>
      </c>
      <c r="R23" s="39">
        <v>0.81200000000000006</v>
      </c>
      <c r="S23" s="39">
        <v>0.90600000000000003</v>
      </c>
      <c r="T23" s="39">
        <v>0.875</v>
      </c>
      <c r="W23">
        <v>2.7239723442761772</v>
      </c>
      <c r="X23">
        <v>4.1537351448668935E-2</v>
      </c>
      <c r="Y23">
        <f t="shared" si="2"/>
        <v>2.8070470471735152</v>
      </c>
      <c r="AA23" t="s">
        <v>129</v>
      </c>
      <c r="AB23" t="s">
        <v>117</v>
      </c>
      <c r="AC23">
        <v>2.875</v>
      </c>
      <c r="AD23">
        <v>0.20300000000000001</v>
      </c>
    </row>
    <row r="24" spans="4:30" x14ac:dyDescent="0.2">
      <c r="D24">
        <v>19</v>
      </c>
      <c r="E24" s="39" t="s">
        <v>138</v>
      </c>
      <c r="F24" s="39">
        <v>9.625</v>
      </c>
      <c r="G24" s="39"/>
      <c r="H24" s="39"/>
      <c r="I24" s="39"/>
      <c r="J24" s="39"/>
      <c r="K24" s="39">
        <v>0.34200000000000003</v>
      </c>
      <c r="L24" s="39"/>
      <c r="M24" s="39"/>
      <c r="N24" s="39"/>
      <c r="O24" s="39">
        <v>0.5</v>
      </c>
      <c r="P24" s="39"/>
      <c r="Q24" s="39"/>
      <c r="R24" s="39"/>
      <c r="S24" s="39"/>
      <c r="T24" s="39"/>
      <c r="W24">
        <v>9.2375394486518836</v>
      </c>
      <c r="X24">
        <v>0.69088476309892932</v>
      </c>
      <c r="Y24">
        <f t="shared" si="2"/>
        <v>10.619308974849742</v>
      </c>
      <c r="AA24" t="s">
        <v>139</v>
      </c>
      <c r="AB24">
        <v>100</v>
      </c>
      <c r="AC24">
        <v>10.75</v>
      </c>
      <c r="AD24">
        <v>0.71899999999999997</v>
      </c>
    </row>
    <row r="25" spans="4:30" x14ac:dyDescent="0.2">
      <c r="D25">
        <v>20</v>
      </c>
      <c r="E25" s="39" t="s">
        <v>139</v>
      </c>
      <c r="F25" s="39">
        <v>10.75</v>
      </c>
      <c r="G25" s="39">
        <v>0.13400000000000001</v>
      </c>
      <c r="H25" s="39">
        <v>0.16500000000000001</v>
      </c>
      <c r="I25" s="39">
        <v>0.25</v>
      </c>
      <c r="J25" s="39">
        <v>0.307</v>
      </c>
      <c r="K25" s="39">
        <v>0.36499999999999999</v>
      </c>
      <c r="L25" s="39">
        <v>0.36499999999999999</v>
      </c>
      <c r="M25" s="39">
        <v>0.5</v>
      </c>
      <c r="N25" s="39">
        <v>0.59399999999999997</v>
      </c>
      <c r="O25" s="39">
        <v>0.5</v>
      </c>
      <c r="P25" s="39">
        <v>0.71899999999999997</v>
      </c>
      <c r="Q25" s="39">
        <v>0.84399999999999997</v>
      </c>
      <c r="R25" s="39">
        <v>1</v>
      </c>
      <c r="S25" s="39">
        <v>1.125</v>
      </c>
      <c r="T25" s="39"/>
      <c r="W25">
        <v>4.65753798225784</v>
      </c>
      <c r="X25">
        <v>0.34271572694357677</v>
      </c>
      <c r="Y25">
        <f t="shared" si="2"/>
        <v>5.342969436144994</v>
      </c>
      <c r="AA25" t="s">
        <v>134</v>
      </c>
      <c r="AB25">
        <v>80</v>
      </c>
      <c r="AC25">
        <v>5.5629999999999997</v>
      </c>
      <c r="AD25">
        <v>0.375</v>
      </c>
    </row>
    <row r="26" spans="4:30" x14ac:dyDescent="0.2">
      <c r="D26">
        <v>21</v>
      </c>
      <c r="E26" s="39" t="s">
        <v>140</v>
      </c>
      <c r="F26" s="39">
        <v>11.75</v>
      </c>
      <c r="G26" s="39"/>
      <c r="H26" s="39"/>
      <c r="I26" s="39"/>
      <c r="J26" s="39"/>
      <c r="K26" s="39">
        <v>0.375</v>
      </c>
      <c r="L26" s="39"/>
      <c r="M26" s="39"/>
      <c r="N26" s="39"/>
      <c r="O26" s="39">
        <v>0.5</v>
      </c>
      <c r="P26" s="39"/>
      <c r="Q26" s="39"/>
      <c r="R26" s="39"/>
      <c r="S26" s="39"/>
      <c r="T26" s="39"/>
      <c r="W26">
        <v>2.8445487774084346</v>
      </c>
      <c r="X26">
        <v>0.20558887017341979</v>
      </c>
      <c r="Y26">
        <f t="shared" si="2"/>
        <v>3.2557265177552743</v>
      </c>
      <c r="AA26" t="s">
        <v>130</v>
      </c>
      <c r="AB26" t="s">
        <v>117</v>
      </c>
      <c r="AC26">
        <v>3.5</v>
      </c>
      <c r="AD26">
        <v>0.216</v>
      </c>
    </row>
    <row r="27" spans="4:30" x14ac:dyDescent="0.2">
      <c r="D27">
        <v>22</v>
      </c>
      <c r="E27" s="39" t="s">
        <v>141</v>
      </c>
      <c r="F27" s="39">
        <v>12.75</v>
      </c>
      <c r="G27" s="39">
        <v>0.16500000000000001</v>
      </c>
      <c r="H27" s="39">
        <v>0.18</v>
      </c>
      <c r="I27" s="39">
        <v>0.25</v>
      </c>
      <c r="J27" s="39">
        <v>0.33</v>
      </c>
      <c r="K27" s="39">
        <v>0.375</v>
      </c>
      <c r="L27" s="39">
        <v>0.40600000000000003</v>
      </c>
      <c r="M27" s="39">
        <v>0.56200000000000006</v>
      </c>
      <c r="N27" s="39">
        <v>0.68799999999999994</v>
      </c>
      <c r="O27" s="39">
        <v>0.5</v>
      </c>
      <c r="P27" s="39">
        <v>0.84399999999999997</v>
      </c>
      <c r="Q27" s="39">
        <v>1</v>
      </c>
      <c r="R27" s="39">
        <v>1.125</v>
      </c>
      <c r="S27" s="39">
        <v>1.3120000000000001</v>
      </c>
      <c r="T27" s="39"/>
      <c r="W27">
        <v>3.4728615390921926</v>
      </c>
      <c r="X27">
        <v>0.16980725286409817</v>
      </c>
      <c r="Y27">
        <f t="shared" si="2"/>
        <v>3.8124760448203889</v>
      </c>
      <c r="AA27" t="s">
        <v>131</v>
      </c>
      <c r="AB27" t="s">
        <v>117</v>
      </c>
      <c r="AC27">
        <v>4</v>
      </c>
      <c r="AD27">
        <v>0.22600000000000001</v>
      </c>
    </row>
    <row r="28" spans="4:30" x14ac:dyDescent="0.2">
      <c r="D28">
        <v>23</v>
      </c>
      <c r="E28" s="39" t="s">
        <v>142</v>
      </c>
      <c r="F28" s="39">
        <v>14</v>
      </c>
      <c r="G28" s="39"/>
      <c r="H28" s="39">
        <v>0.25</v>
      </c>
      <c r="I28" s="39">
        <v>0.312</v>
      </c>
      <c r="J28" s="39">
        <v>0.375</v>
      </c>
      <c r="K28" s="39">
        <v>0.375</v>
      </c>
      <c r="L28" s="39">
        <v>0.438</v>
      </c>
      <c r="M28" s="39">
        <v>0.59399999999999997</v>
      </c>
      <c r="N28" s="39">
        <v>0.75</v>
      </c>
      <c r="O28" s="39">
        <v>0.5</v>
      </c>
      <c r="P28" s="39">
        <v>0.93799999999999994</v>
      </c>
      <c r="Q28" s="39">
        <v>1.0940000000000001</v>
      </c>
      <c r="R28" s="39">
        <v>1.25</v>
      </c>
      <c r="S28" s="39">
        <v>1.4059999999999999</v>
      </c>
      <c r="T28" s="39"/>
      <c r="W28">
        <v>8.2794163653769814</v>
      </c>
      <c r="X28">
        <v>0.94142933286732422</v>
      </c>
      <c r="Y28">
        <f t="shared" si="2"/>
        <v>10.16227503111163</v>
      </c>
      <c r="AA28" t="s">
        <v>139</v>
      </c>
      <c r="AB28">
        <v>140</v>
      </c>
      <c r="AC28">
        <v>10.75</v>
      </c>
      <c r="AD28">
        <v>1</v>
      </c>
    </row>
    <row r="29" spans="4:30" x14ac:dyDescent="0.2">
      <c r="D29">
        <v>24</v>
      </c>
      <c r="E29" s="39" t="s">
        <v>143</v>
      </c>
      <c r="F29" s="39">
        <v>16</v>
      </c>
      <c r="G29" s="39"/>
      <c r="H29" s="39">
        <v>0.25</v>
      </c>
      <c r="I29" s="39">
        <v>0.312</v>
      </c>
      <c r="J29" s="39">
        <v>0.375</v>
      </c>
      <c r="K29" s="39">
        <v>0.375</v>
      </c>
      <c r="L29" s="39">
        <v>0.5</v>
      </c>
      <c r="M29" s="39">
        <v>0.65600000000000003</v>
      </c>
      <c r="N29" s="39">
        <v>0.84399999999999997</v>
      </c>
      <c r="O29" s="39">
        <v>0.5</v>
      </c>
      <c r="P29" s="39">
        <v>1.0309999999999999</v>
      </c>
      <c r="Q29" s="39">
        <v>1.2190000000000001</v>
      </c>
      <c r="R29" s="39">
        <v>1.4379999999999999</v>
      </c>
      <c r="S29" s="39">
        <v>1.5940000000000001</v>
      </c>
      <c r="T29" s="39"/>
      <c r="W29">
        <v>10.760041638953906</v>
      </c>
      <c r="X29">
        <v>0.54352808254735863</v>
      </c>
      <c r="Y29">
        <f t="shared" si="2"/>
        <v>11.847097804048623</v>
      </c>
      <c r="AA29" t="s">
        <v>141</v>
      </c>
      <c r="AB29">
        <v>60</v>
      </c>
      <c r="AC29">
        <v>12.75</v>
      </c>
      <c r="AD29">
        <v>0.56200000000000006</v>
      </c>
    </row>
    <row r="30" spans="4:30" x14ac:dyDescent="0.2">
      <c r="D30">
        <v>25</v>
      </c>
      <c r="E30" s="39" t="s">
        <v>144</v>
      </c>
      <c r="F30" s="39">
        <v>18</v>
      </c>
      <c r="G30" s="39"/>
      <c r="H30" s="39">
        <v>0.25</v>
      </c>
      <c r="I30" s="39">
        <v>0.312</v>
      </c>
      <c r="J30" s="39">
        <v>0.438</v>
      </c>
      <c r="K30" s="39">
        <v>0.375</v>
      </c>
      <c r="L30" s="39">
        <v>0.56200000000000006</v>
      </c>
      <c r="M30" s="39">
        <v>0.75</v>
      </c>
      <c r="N30" s="39">
        <v>0.93799999999999994</v>
      </c>
      <c r="O30" s="39">
        <v>0.5</v>
      </c>
      <c r="P30" s="39">
        <v>1.1559999999999999</v>
      </c>
      <c r="Q30" s="39">
        <v>1.375</v>
      </c>
      <c r="R30" s="39">
        <v>1.5620000000000001</v>
      </c>
      <c r="S30" s="39">
        <v>1.7809999999999999</v>
      </c>
      <c r="T30" s="39"/>
    </row>
    <row r="31" spans="4:30" x14ac:dyDescent="0.2">
      <c r="D31">
        <v>26</v>
      </c>
      <c r="E31" s="39" t="s">
        <v>145</v>
      </c>
      <c r="F31" s="39">
        <v>20</v>
      </c>
      <c r="G31" s="39"/>
      <c r="H31" s="39">
        <v>0.25</v>
      </c>
      <c r="I31" s="39">
        <v>0.375</v>
      </c>
      <c r="J31" s="39">
        <v>0.5</v>
      </c>
      <c r="K31" s="39">
        <v>0.375</v>
      </c>
      <c r="L31" s="39">
        <v>0.59399999999999997</v>
      </c>
      <c r="M31" s="39">
        <v>0.81200000000000006</v>
      </c>
      <c r="N31" s="39">
        <v>1.0309999999999999</v>
      </c>
      <c r="O31" s="39">
        <v>0.5</v>
      </c>
      <c r="P31" s="39">
        <v>1.2809999999999999</v>
      </c>
      <c r="Q31" s="39">
        <v>1.5</v>
      </c>
      <c r="R31" s="39">
        <v>1.75</v>
      </c>
      <c r="S31" s="39">
        <v>1.968</v>
      </c>
      <c r="T31" s="39"/>
    </row>
    <row r="32" spans="4:30" x14ac:dyDescent="0.2">
      <c r="D32">
        <v>27</v>
      </c>
      <c r="E32" s="39" t="s">
        <v>146</v>
      </c>
      <c r="F32" s="39">
        <v>22</v>
      </c>
      <c r="G32" s="39"/>
      <c r="H32" s="39">
        <v>0.25</v>
      </c>
      <c r="I32" s="39">
        <v>0.375</v>
      </c>
      <c r="J32" s="39">
        <v>0.5</v>
      </c>
      <c r="K32" s="39">
        <v>0.375</v>
      </c>
      <c r="L32" s="39"/>
      <c r="M32" s="39">
        <v>0.875</v>
      </c>
      <c r="N32" s="39">
        <v>1.125</v>
      </c>
      <c r="O32" s="39">
        <v>0.5</v>
      </c>
      <c r="P32" s="39">
        <v>1.375</v>
      </c>
      <c r="Q32" s="39">
        <v>1.625</v>
      </c>
      <c r="R32" s="39">
        <v>1.875</v>
      </c>
      <c r="S32" s="39">
        <v>2.125</v>
      </c>
      <c r="T32" s="39"/>
    </row>
    <row r="33" spans="4:20" x14ac:dyDescent="0.2">
      <c r="D33">
        <v>28</v>
      </c>
      <c r="E33" s="39" t="s">
        <v>147</v>
      </c>
      <c r="F33" s="39">
        <v>24</v>
      </c>
      <c r="G33" s="39"/>
      <c r="H33" s="39">
        <v>0.25</v>
      </c>
      <c r="I33" s="39">
        <v>0.375</v>
      </c>
      <c r="J33" s="39">
        <v>0.56200000000000006</v>
      </c>
      <c r="K33" s="39">
        <v>0.375</v>
      </c>
      <c r="L33" s="39">
        <v>0.68799999999999994</v>
      </c>
      <c r="M33" s="39">
        <v>0.96899999999999997</v>
      </c>
      <c r="N33" s="39">
        <v>1.2190000000000001</v>
      </c>
      <c r="O33" s="39">
        <v>0.5</v>
      </c>
      <c r="P33" s="39">
        <v>1.5309999999999999</v>
      </c>
      <c r="Q33" s="39">
        <v>1.8120000000000001</v>
      </c>
      <c r="R33" s="39">
        <v>2.0619999999999998</v>
      </c>
      <c r="S33" s="39">
        <v>2.3439999999999999</v>
      </c>
      <c r="T33" s="39"/>
    </row>
    <row r="35" spans="4:20" x14ac:dyDescent="0.2">
      <c r="E35" s="39" t="s">
        <v>148</v>
      </c>
    </row>
    <row r="36" spans="4:20" x14ac:dyDescent="0.2">
      <c r="E36" s="40" t="s">
        <v>149</v>
      </c>
    </row>
  </sheetData>
  <hyperlinks>
    <hyperlink ref="E36" r:id="rId1" display="https://www.amerpipe.com/wp-content/uploads/2015/10/APP-chart-v7-web.pdf" xr:uid="{35E269BA-D5A3-D64E-8C6E-14C008A85F6E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CC161-35D7-3A4C-9A2C-4E09A95D6AB5}">
  <dimension ref="E4:AV74"/>
  <sheetViews>
    <sheetView topLeftCell="G1" zoomScale="125" workbookViewId="0">
      <selection activeCell="M3" sqref="M3"/>
    </sheetView>
  </sheetViews>
  <sheetFormatPr baseColWidth="10" defaultColWidth="8.83203125" defaultRowHeight="15" x14ac:dyDescent="0.2"/>
  <cols>
    <col min="14" max="14" width="18.1640625" customWidth="1"/>
    <col min="15" max="15" width="17.83203125" customWidth="1"/>
    <col min="20" max="20" width="14.6640625" bestFit="1" customWidth="1"/>
    <col min="24" max="24" width="14.83203125" bestFit="1" customWidth="1"/>
    <col min="27" max="27" width="17.33203125" customWidth="1"/>
    <col min="34" max="34" width="16" bestFit="1" customWidth="1"/>
    <col min="35" max="35" width="16.33203125" customWidth="1"/>
    <col min="38" max="39" width="16" bestFit="1" customWidth="1"/>
    <col min="40" max="40" width="13.6640625" bestFit="1" customWidth="1"/>
    <col min="41" max="41" width="18.83203125" bestFit="1" customWidth="1"/>
    <col min="42" max="42" width="16" bestFit="1" customWidth="1"/>
    <col min="43" max="43" width="17.5" bestFit="1" customWidth="1"/>
    <col min="46" max="46" width="14.6640625" bestFit="1" customWidth="1"/>
    <col min="47" max="48" width="12.6640625" bestFit="1" customWidth="1"/>
  </cols>
  <sheetData>
    <row r="4" spans="5:48" x14ac:dyDescent="0.2">
      <c r="N4" t="s">
        <v>341</v>
      </c>
      <c r="Z4" t="s">
        <v>342</v>
      </c>
      <c r="AE4" t="s">
        <v>343</v>
      </c>
      <c r="AK4" t="s">
        <v>344</v>
      </c>
    </row>
    <row r="5" spans="5:48" x14ac:dyDescent="0.2">
      <c r="E5" t="s">
        <v>345</v>
      </c>
      <c r="F5" t="s">
        <v>346</v>
      </c>
      <c r="G5" t="s">
        <v>347</v>
      </c>
      <c r="H5" t="s">
        <v>348</v>
      </c>
      <c r="I5" t="s">
        <v>349</v>
      </c>
      <c r="J5" t="s">
        <v>350</v>
      </c>
      <c r="K5" t="s">
        <v>351</v>
      </c>
      <c r="M5" t="s">
        <v>352</v>
      </c>
      <c r="N5" t="s">
        <v>353</v>
      </c>
      <c r="O5" t="s">
        <v>354</v>
      </c>
      <c r="P5" t="s">
        <v>355</v>
      </c>
      <c r="Q5" t="s">
        <v>356</v>
      </c>
      <c r="R5" t="s">
        <v>349</v>
      </c>
      <c r="S5" t="s">
        <v>350</v>
      </c>
      <c r="T5" t="s">
        <v>357</v>
      </c>
      <c r="U5" t="s">
        <v>321</v>
      </c>
      <c r="V5" t="s">
        <v>358</v>
      </c>
      <c r="W5" t="s">
        <v>359</v>
      </c>
      <c r="X5" t="s">
        <v>360</v>
      </c>
      <c r="Z5" t="s">
        <v>353</v>
      </c>
      <c r="AA5" t="s">
        <v>361</v>
      </c>
      <c r="AB5" t="s">
        <v>362</v>
      </c>
      <c r="AC5" t="s">
        <v>363</v>
      </c>
      <c r="AE5" t="s">
        <v>364</v>
      </c>
      <c r="AF5" t="s">
        <v>365</v>
      </c>
      <c r="AG5" t="s">
        <v>366</v>
      </c>
      <c r="AH5" t="s">
        <v>358</v>
      </c>
      <c r="AI5" t="s">
        <v>367</v>
      </c>
      <c r="AK5" t="s">
        <v>368</v>
      </c>
      <c r="AL5">
        <v>3</v>
      </c>
      <c r="AR5" t="s">
        <v>536</v>
      </c>
    </row>
    <row r="6" spans="5:48" x14ac:dyDescent="0.2">
      <c r="E6" t="s">
        <v>369</v>
      </c>
      <c r="F6" t="s">
        <v>370</v>
      </c>
      <c r="G6">
        <v>5</v>
      </c>
      <c r="H6">
        <v>75</v>
      </c>
      <c r="I6" s="63">
        <v>17000</v>
      </c>
      <c r="J6" s="63">
        <v>1130</v>
      </c>
      <c r="K6">
        <v>1.05</v>
      </c>
      <c r="M6">
        <f>_xlfn.XMATCH(N6,E$6:E$61)</f>
        <v>9</v>
      </c>
      <c r="N6" s="64" t="s">
        <v>418</v>
      </c>
      <c r="O6" t="str">
        <f ca="1">OFFSET(F$5,$M6,0)</f>
        <v>driver power,kW</v>
      </c>
      <c r="P6">
        <f ca="1">OFFSET(G$5,$M6,0)</f>
        <v>75</v>
      </c>
      <c r="Q6">
        <f t="shared" ref="Q6:T21" ca="1" si="0">OFFSET(H$5,$M6,0)</f>
        <v>30000</v>
      </c>
      <c r="R6">
        <f t="shared" ca="1" si="0"/>
        <v>580000</v>
      </c>
      <c r="S6">
        <f t="shared" ca="1" si="0"/>
        <v>20000</v>
      </c>
      <c r="T6">
        <f t="shared" ca="1" si="0"/>
        <v>0.6</v>
      </c>
      <c r="U6" t="s">
        <v>517</v>
      </c>
      <c r="V6">
        <f>Sheet1!AG16</f>
        <v>5</v>
      </c>
      <c r="W6">
        <f>Sheet1!AG30</f>
        <v>1523.2137865560805</v>
      </c>
      <c r="X6" s="65">
        <f ca="1">IF(W6&lt;P6, R6+S6*P6^T6,IF(W6&gt;Q6,(R6+S6*Q6^T6)*W6/Q6,R6+S6*W6^T6))*V6</f>
        <v>11021879.038072407</v>
      </c>
      <c r="Z6" t="s">
        <v>371</v>
      </c>
      <c r="AA6" s="66">
        <f ca="1">X36</f>
        <v>46131695.482551575</v>
      </c>
      <c r="AB6" t="s">
        <v>372</v>
      </c>
      <c r="AC6" t="s">
        <v>373</v>
      </c>
      <c r="AE6" t="s">
        <v>0</v>
      </c>
      <c r="AF6" t="s">
        <v>374</v>
      </c>
      <c r="AG6">
        <v>1.4999999999999999E-2</v>
      </c>
      <c r="AH6" s="65">
        <f>Sheet1!G18*3600*24*365*44/1000</f>
        <v>365006340.99065393</v>
      </c>
      <c r="AI6" s="66">
        <f>AG6*AH6</f>
        <v>5475095.1148598092</v>
      </c>
      <c r="AK6" t="s">
        <v>375</v>
      </c>
      <c r="AL6">
        <v>5</v>
      </c>
      <c r="AN6" t="s">
        <v>376</v>
      </c>
      <c r="AO6">
        <f>AQ6</f>
        <v>0.05</v>
      </c>
      <c r="AP6" t="s">
        <v>377</v>
      </c>
      <c r="AQ6">
        <f>0.05*(1+AR6/100)</f>
        <v>0.05</v>
      </c>
      <c r="AR6">
        <v>0</v>
      </c>
      <c r="AT6" s="66">
        <f ca="1">AQ32</f>
        <v>-295869860.17859995</v>
      </c>
    </row>
    <row r="7" spans="5:48" x14ac:dyDescent="0.2">
      <c r="E7" t="s">
        <v>378</v>
      </c>
      <c r="F7" t="s">
        <v>370</v>
      </c>
      <c r="G7">
        <v>5</v>
      </c>
      <c r="H7">
        <v>35</v>
      </c>
      <c r="I7" s="63">
        <v>30800</v>
      </c>
      <c r="J7">
        <v>125</v>
      </c>
      <c r="K7">
        <v>2</v>
      </c>
      <c r="M7">
        <f>_xlfn.XMATCH(N7,E$6:E$61)</f>
        <v>9</v>
      </c>
      <c r="N7" s="64" t="s">
        <v>418</v>
      </c>
      <c r="O7" t="str">
        <f t="shared" ref="O7:T35" ca="1" si="1">OFFSET(F$5,$M7,0)</f>
        <v>driver power,kW</v>
      </c>
      <c r="P7">
        <f ca="1">OFFSET(G$5,$M7,0)</f>
        <v>75</v>
      </c>
      <c r="Q7">
        <f t="shared" ca="1" si="0"/>
        <v>30000</v>
      </c>
      <c r="R7">
        <f t="shared" ca="1" si="0"/>
        <v>580000</v>
      </c>
      <c r="S7">
        <f t="shared" ca="1" si="0"/>
        <v>20000</v>
      </c>
      <c r="T7">
        <f t="shared" ca="1" si="0"/>
        <v>0.6</v>
      </c>
      <c r="U7" t="s">
        <v>518</v>
      </c>
      <c r="V7">
        <f>Sheet1!AK16</f>
        <v>7</v>
      </c>
      <c r="W7">
        <f>Sheet1!AK30</f>
        <v>1451.9204722134673</v>
      </c>
      <c r="X7" s="65">
        <f t="shared" ref="X7:X16" ca="1" si="2">IF(W7&lt;P7, R7+S7*P7^T7,IF(W7&gt;Q7,(R7+S7*Q7^T7)*W7/Q7,R7+S7*W7^T7))*V7</f>
        <v>15108256.108085098</v>
      </c>
      <c r="Z7" t="s">
        <v>379</v>
      </c>
      <c r="AA7">
        <v>0.8</v>
      </c>
      <c r="AB7">
        <v>0.6</v>
      </c>
      <c r="AC7">
        <v>0.2</v>
      </c>
      <c r="AE7" t="s">
        <v>1</v>
      </c>
      <c r="AF7" t="s">
        <v>374</v>
      </c>
      <c r="AG7">
        <v>2</v>
      </c>
      <c r="AH7" s="65">
        <f>Sheet1!H19*3600*24*365*2/1000</f>
        <v>40615400.599133708</v>
      </c>
      <c r="AI7" s="66">
        <f t="shared" ref="AI7:AI8" si="3">AG7*AH7</f>
        <v>81230801.198267415</v>
      </c>
      <c r="AK7" t="s">
        <v>380</v>
      </c>
      <c r="AL7">
        <v>3.5</v>
      </c>
      <c r="AN7" t="s">
        <v>381</v>
      </c>
      <c r="AO7">
        <f>AQ7</f>
        <v>0.6</v>
      </c>
      <c r="AP7" t="s">
        <v>377</v>
      </c>
      <c r="AQ7">
        <f>0.6*(1+AR7/100)</f>
        <v>0.6</v>
      </c>
      <c r="AR7">
        <v>0</v>
      </c>
      <c r="AU7" t="s">
        <v>535</v>
      </c>
    </row>
    <row r="8" spans="5:48" x14ac:dyDescent="0.2">
      <c r="E8" t="s">
        <v>382</v>
      </c>
      <c r="F8" t="s">
        <v>383</v>
      </c>
      <c r="G8">
        <v>1</v>
      </c>
      <c r="H8">
        <v>50</v>
      </c>
      <c r="I8">
        <v>570</v>
      </c>
      <c r="J8" s="63">
        <v>1170</v>
      </c>
      <c r="K8">
        <v>0.4</v>
      </c>
      <c r="M8">
        <f t="shared" ref="M8:M35" si="4">_xlfn.XMATCH(N8,E$6:E$61)</f>
        <v>9</v>
      </c>
      <c r="N8" s="64" t="s">
        <v>418</v>
      </c>
      <c r="O8" t="str">
        <f t="shared" ca="1" si="1"/>
        <v>driver power,kW</v>
      </c>
      <c r="P8">
        <f t="shared" ca="1" si="1"/>
        <v>75</v>
      </c>
      <c r="Q8">
        <f t="shared" ca="1" si="0"/>
        <v>30000</v>
      </c>
      <c r="R8">
        <f t="shared" ca="1" si="0"/>
        <v>580000</v>
      </c>
      <c r="S8">
        <f t="shared" ca="1" si="0"/>
        <v>20000</v>
      </c>
      <c r="T8">
        <f t="shared" ca="1" si="0"/>
        <v>0.6</v>
      </c>
      <c r="U8" t="s">
        <v>519</v>
      </c>
      <c r="V8">
        <v>1</v>
      </c>
      <c r="W8">
        <f>Sheet1!AO30</f>
        <v>8733.0251750311145</v>
      </c>
      <c r="X8" s="65">
        <f t="shared" ca="1" si="2"/>
        <v>5211576.2997462535</v>
      </c>
      <c r="Z8" t="s">
        <v>384</v>
      </c>
      <c r="AA8">
        <v>1</v>
      </c>
      <c r="AB8" t="s">
        <v>385</v>
      </c>
      <c r="AC8" t="s">
        <v>385</v>
      </c>
      <c r="AE8" t="s">
        <v>386</v>
      </c>
      <c r="AF8" t="s">
        <v>374</v>
      </c>
      <c r="AG8">
        <v>441.05599999999998</v>
      </c>
      <c r="AH8">
        <f>'Reactor sheet'!C8/5</f>
        <v>18926.702620313656</v>
      </c>
      <c r="AI8" s="66">
        <f t="shared" si="3"/>
        <v>8347735.7509050593</v>
      </c>
      <c r="AK8" t="s">
        <v>387</v>
      </c>
      <c r="AL8" t="s">
        <v>388</v>
      </c>
      <c r="AM8" t="s">
        <v>389</v>
      </c>
      <c r="AN8" t="s">
        <v>390</v>
      </c>
      <c r="AO8" t="s">
        <v>391</v>
      </c>
      <c r="AP8" t="s">
        <v>392</v>
      </c>
      <c r="AQ8" t="s">
        <v>393</v>
      </c>
      <c r="AT8" t="s">
        <v>532</v>
      </c>
      <c r="AU8" t="s">
        <v>534</v>
      </c>
      <c r="AV8" t="s">
        <v>533</v>
      </c>
    </row>
    <row r="9" spans="5:48" x14ac:dyDescent="0.2">
      <c r="E9" t="s">
        <v>394</v>
      </c>
      <c r="F9" t="s">
        <v>395</v>
      </c>
      <c r="G9" s="63">
        <v>5000</v>
      </c>
      <c r="H9" s="63">
        <v>200000</v>
      </c>
      <c r="I9" s="63">
        <v>124000</v>
      </c>
      <c r="J9">
        <v>10</v>
      </c>
      <c r="K9">
        <v>1</v>
      </c>
      <c r="M9">
        <f t="shared" si="4"/>
        <v>44</v>
      </c>
      <c r="N9" s="64" t="s">
        <v>497</v>
      </c>
      <c r="O9" t="str">
        <f t="shared" ca="1" si="1"/>
        <v>flow, liters/s</v>
      </c>
      <c r="P9">
        <f t="shared" ca="1" si="1"/>
        <v>0.2</v>
      </c>
      <c r="Q9">
        <f t="shared" ca="1" si="0"/>
        <v>126</v>
      </c>
      <c r="R9">
        <f t="shared" ca="1" si="0"/>
        <v>8000</v>
      </c>
      <c r="S9">
        <f t="shared" ca="1" si="0"/>
        <v>240</v>
      </c>
      <c r="T9">
        <f t="shared" ca="1" si="0"/>
        <v>0.9</v>
      </c>
      <c r="U9" t="s">
        <v>520</v>
      </c>
      <c r="V9">
        <v>3</v>
      </c>
      <c r="W9">
        <v>126</v>
      </c>
      <c r="X9" s="65">
        <f t="shared" ca="1" si="2"/>
        <v>79932.726119848696</v>
      </c>
      <c r="Z9" t="s">
        <v>396</v>
      </c>
      <c r="AA9">
        <f>(1+AA7)*AA8</f>
        <v>1.8</v>
      </c>
      <c r="AB9" t="s">
        <v>385</v>
      </c>
      <c r="AC9" t="s">
        <v>385</v>
      </c>
      <c r="AE9" t="s">
        <v>397</v>
      </c>
      <c r="AF9" t="s">
        <v>398</v>
      </c>
      <c r="AG9">
        <v>0.1</v>
      </c>
      <c r="AH9" s="65">
        <f>(Sheet1!AG30*Sheet1!AG16+Sheet1!AK30*Sheet1!AK16+Sheet1!AO30*Sheet1!AO16+Sheet1!BE32+Sheet1!BF32*(Sheet1!AG16-1)+Sheet1!BG32*(Sheet1!AK16-1)+Sheet1!BH32)*24*365</f>
        <v>235900397.17440766</v>
      </c>
      <c r="AI9" s="66">
        <f>AG9*AH9</f>
        <v>23590039.717440769</v>
      </c>
      <c r="AK9">
        <v>0</v>
      </c>
      <c r="AL9" s="66">
        <f ca="1">-AA23</f>
        <v>-307484627.84077311</v>
      </c>
      <c r="AP9" s="66">
        <f ca="1">SUM(AL9:AO9)/(1+$DY$4/100)^AK9</f>
        <v>-307484627.84077311</v>
      </c>
      <c r="AQ9" s="66">
        <f ca="1">AP9</f>
        <v>-307484627.84077311</v>
      </c>
    </row>
    <row r="10" spans="5:48" x14ac:dyDescent="0.2">
      <c r="E10" t="s">
        <v>399</v>
      </c>
      <c r="F10" t="s">
        <v>400</v>
      </c>
      <c r="G10" s="63">
        <v>20000</v>
      </c>
      <c r="H10" s="63">
        <v>800000</v>
      </c>
      <c r="I10" s="63">
        <v>130000</v>
      </c>
      <c r="J10">
        <v>53</v>
      </c>
      <c r="K10">
        <v>0.9</v>
      </c>
      <c r="M10" t="e">
        <f t="shared" si="4"/>
        <v>#N/A</v>
      </c>
      <c r="N10" s="64" t="s">
        <v>521</v>
      </c>
      <c r="O10" t="s">
        <v>471</v>
      </c>
      <c r="P10">
        <v>10</v>
      </c>
      <c r="Q10">
        <v>10000</v>
      </c>
      <c r="R10">
        <v>0</v>
      </c>
      <c r="S10">
        <v>500</v>
      </c>
      <c r="T10">
        <v>1</v>
      </c>
      <c r="U10" t="s">
        <v>522</v>
      </c>
      <c r="V10">
        <v>1</v>
      </c>
      <c r="W10" s="43">
        <f>Sheet1!BP21</f>
        <v>4524.5174364845807</v>
      </c>
      <c r="X10" s="65">
        <f t="shared" si="2"/>
        <v>2262258.7182422904</v>
      </c>
      <c r="Z10" t="s">
        <v>401</v>
      </c>
      <c r="AA10">
        <v>0.3</v>
      </c>
      <c r="AB10">
        <v>0.5</v>
      </c>
      <c r="AC10">
        <v>0.6</v>
      </c>
      <c r="AE10" t="s">
        <v>402</v>
      </c>
      <c r="AF10" t="s">
        <v>403</v>
      </c>
      <c r="AG10">
        <v>18</v>
      </c>
      <c r="AH10" s="43">
        <f>Sheet1!BB18*3600*24*365*1000/1000000000</f>
        <v>22926.610901456159</v>
      </c>
      <c r="AI10" s="66">
        <f>AG10*AH10</f>
        <v>412678.99622621085</v>
      </c>
      <c r="AK10">
        <f>AL5</f>
        <v>3</v>
      </c>
      <c r="AP10" s="66">
        <f>SUM(AL10:AO10)/(1+$DY$4/100)^AK10</f>
        <v>0</v>
      </c>
      <c r="AQ10" s="66">
        <f ca="1">AP10+AQ9</f>
        <v>-307484627.84077311</v>
      </c>
    </row>
    <row r="11" spans="5:48" x14ac:dyDescent="0.2">
      <c r="E11" t="s">
        <v>404</v>
      </c>
      <c r="F11" t="s">
        <v>405</v>
      </c>
      <c r="G11">
        <v>0.26</v>
      </c>
      <c r="H11">
        <v>0.49</v>
      </c>
      <c r="I11" s="63">
        <v>57000</v>
      </c>
      <c r="J11" s="63">
        <v>480000</v>
      </c>
      <c r="K11">
        <v>0.7</v>
      </c>
      <c r="M11">
        <f t="shared" si="4"/>
        <v>26</v>
      </c>
      <c r="N11" s="64" t="s">
        <v>472</v>
      </c>
      <c r="O11" t="str">
        <f t="shared" ca="1" si="1"/>
        <v xml:space="preserve"> area, m2</v>
      </c>
      <c r="P11">
        <f t="shared" ca="1" si="1"/>
        <v>10</v>
      </c>
      <c r="Q11">
        <f t="shared" ca="1" si="0"/>
        <v>1000</v>
      </c>
      <c r="R11">
        <f t="shared" ca="1" si="0"/>
        <v>32000</v>
      </c>
      <c r="S11">
        <f t="shared" ca="1" si="0"/>
        <v>70</v>
      </c>
      <c r="T11">
        <f t="shared" ca="1" si="0"/>
        <v>1.2</v>
      </c>
      <c r="U11" t="s">
        <v>252</v>
      </c>
      <c r="V11">
        <v>1</v>
      </c>
      <c r="W11" s="43">
        <f>Sheet1!BB28</f>
        <v>251.95832867420162</v>
      </c>
      <c r="X11" s="65">
        <f t="shared" ca="1" si="2"/>
        <v>85295.740733509127</v>
      </c>
      <c r="Z11" t="s">
        <v>406</v>
      </c>
      <c r="AA11">
        <v>0.3</v>
      </c>
      <c r="AB11">
        <v>0.3</v>
      </c>
      <c r="AC11">
        <v>0.2</v>
      </c>
      <c r="AE11" t="s">
        <v>407</v>
      </c>
      <c r="AF11" t="s">
        <v>403</v>
      </c>
      <c r="AG11">
        <v>15</v>
      </c>
      <c r="AH11">
        <f>Sheet1!BI18*3600*24*365*1000/1000000000</f>
        <v>698965.9063493365</v>
      </c>
      <c r="AI11" s="66">
        <f>AG11*AH11</f>
        <v>10484488.595240047</v>
      </c>
      <c r="AK11">
        <f>AK10+1</f>
        <v>4</v>
      </c>
      <c r="AM11" s="66">
        <f ca="1">-AI$22</f>
        <v>-156906971.25076813</v>
      </c>
      <c r="AN11" s="65">
        <f>-AI$23*(1+AL$7/100)^AK11</f>
        <v>-1990355.6941240497</v>
      </c>
      <c r="AO11" s="65">
        <f>(Sheet1!I19-Sheet1!AB18)*3600*24*365*44/1000*AO6+Sheet1!W28*3600*24*365*32/1000*'Economic Analysis'!AO7</f>
        <v>160663724.80838916</v>
      </c>
      <c r="AP11" s="66">
        <f ca="1">SUM(AL11:AO11)/(1+AL$6/100)^AK11</f>
        <v>1453219.8937660658</v>
      </c>
      <c r="AQ11" s="66">
        <f ca="1">AP11+AQ10</f>
        <v>-306031407.94700706</v>
      </c>
    </row>
    <row r="12" spans="5:48" x14ac:dyDescent="0.2">
      <c r="E12" t="s">
        <v>408</v>
      </c>
      <c r="F12" t="s">
        <v>409</v>
      </c>
      <c r="G12">
        <v>2</v>
      </c>
      <c r="H12">
        <v>20</v>
      </c>
      <c r="I12" s="63">
        <v>65000</v>
      </c>
      <c r="J12">
        <v>750</v>
      </c>
      <c r="K12">
        <v>1.5</v>
      </c>
      <c r="M12">
        <f t="shared" si="4"/>
        <v>28</v>
      </c>
      <c r="N12" s="64" t="s">
        <v>474</v>
      </c>
      <c r="O12" t="str">
        <f t="shared" ca="1" si="1"/>
        <v xml:space="preserve"> area, m2</v>
      </c>
      <c r="P12">
        <f t="shared" ca="1" si="1"/>
        <v>10</v>
      </c>
      <c r="Q12">
        <f t="shared" ca="1" si="0"/>
        <v>500</v>
      </c>
      <c r="R12">
        <f t="shared" ca="1" si="0"/>
        <v>30400</v>
      </c>
      <c r="S12">
        <f t="shared" ca="1" si="0"/>
        <v>122</v>
      </c>
      <c r="T12">
        <f t="shared" ca="1" si="0"/>
        <v>1.1000000000000001</v>
      </c>
      <c r="U12" t="s">
        <v>253</v>
      </c>
      <c r="V12">
        <v>1</v>
      </c>
      <c r="W12" s="43">
        <f>Sheet1!BC28</f>
        <v>5324.0234493575608</v>
      </c>
      <c r="X12" s="65">
        <f t="shared" ca="1" si="2"/>
        <v>1532896.8731628233</v>
      </c>
      <c r="Z12" t="s">
        <v>410</v>
      </c>
      <c r="AA12">
        <v>0.2</v>
      </c>
      <c r="AB12">
        <v>0.2</v>
      </c>
      <c r="AC12">
        <v>0.15</v>
      </c>
      <c r="AE12" t="s">
        <v>411</v>
      </c>
      <c r="AF12" t="s">
        <v>412</v>
      </c>
      <c r="AG12">
        <v>30</v>
      </c>
      <c r="AH12">
        <f>3*24*365</f>
        <v>26280</v>
      </c>
      <c r="AI12" s="66">
        <f>AG12*AH12</f>
        <v>788400</v>
      </c>
      <c r="AK12">
        <f t="shared" ref="AK12:AK51" si="5">AK11+1</f>
        <v>5</v>
      </c>
      <c r="AM12" s="66">
        <f t="shared" ref="AM12:AM51" ca="1" si="6">-AI$22</f>
        <v>-156906971.25076813</v>
      </c>
      <c r="AN12" s="65">
        <f t="shared" ref="AN12:AN51" si="7">-AI$23*(1+AL$7/100)^AK12</f>
        <v>-2060018.1434183912</v>
      </c>
      <c r="AO12" s="65">
        <f>AO11</f>
        <v>160663724.80838916</v>
      </c>
      <c r="AP12" s="66">
        <f t="shared" ref="AP12:AP51" ca="1" si="8">SUM(AL12:AO12)/(1+AL$6/100)^AK12</f>
        <v>1329436.59460146</v>
      </c>
      <c r="AQ12" s="66">
        <f t="shared" ref="AQ12:AQ51" ca="1" si="9">AP12+AQ11</f>
        <v>-304701971.35240561</v>
      </c>
    </row>
    <row r="13" spans="5:48" x14ac:dyDescent="0.2">
      <c r="E13" t="s">
        <v>413</v>
      </c>
      <c r="F13" t="s">
        <v>414</v>
      </c>
      <c r="G13">
        <v>200</v>
      </c>
      <c r="H13" s="63">
        <v>5000</v>
      </c>
      <c r="I13" s="63">
        <v>4450</v>
      </c>
      <c r="J13">
        <v>57</v>
      </c>
      <c r="K13">
        <v>0.8</v>
      </c>
      <c r="M13">
        <f t="shared" si="4"/>
        <v>26</v>
      </c>
      <c r="N13" s="64" t="s">
        <v>472</v>
      </c>
      <c r="O13" t="str">
        <f t="shared" ca="1" si="1"/>
        <v xml:space="preserve"> area, m2</v>
      </c>
      <c r="P13">
        <f t="shared" ca="1" si="1"/>
        <v>10</v>
      </c>
      <c r="Q13">
        <f t="shared" ca="1" si="0"/>
        <v>1000</v>
      </c>
      <c r="R13">
        <f t="shared" ca="1" si="0"/>
        <v>32000</v>
      </c>
      <c r="S13">
        <f t="shared" ca="1" si="0"/>
        <v>70</v>
      </c>
      <c r="T13">
        <f t="shared" ca="1" si="0"/>
        <v>1.2</v>
      </c>
      <c r="U13" t="s">
        <v>265</v>
      </c>
      <c r="V13">
        <v>1</v>
      </c>
      <c r="W13" s="43">
        <f>Sheet1!BD28</f>
        <v>260.23403037065111</v>
      </c>
      <c r="X13" s="65">
        <f t="shared" ca="1" si="2"/>
        <v>87403.212233332597</v>
      </c>
      <c r="Z13" t="s">
        <v>415</v>
      </c>
      <c r="AA13">
        <v>0.3</v>
      </c>
      <c r="AB13">
        <v>0.3</v>
      </c>
      <c r="AC13">
        <v>0.2</v>
      </c>
      <c r="AE13" t="s">
        <v>416</v>
      </c>
      <c r="AG13" t="s">
        <v>417</v>
      </c>
      <c r="AI13" s="66">
        <f>0.18*AI12</f>
        <v>141912</v>
      </c>
      <c r="AK13">
        <f t="shared" si="5"/>
        <v>6</v>
      </c>
      <c r="AM13" s="66">
        <f t="shared" ca="1" si="6"/>
        <v>-156906971.25076813</v>
      </c>
      <c r="AN13" s="65">
        <f t="shared" si="7"/>
        <v>-2132118.7784380349</v>
      </c>
      <c r="AO13" s="65">
        <f t="shared" ref="AO13:AO51" si="10">AO12</f>
        <v>160663724.80838916</v>
      </c>
      <c r="AP13" s="66">
        <f t="shared" ca="1" si="8"/>
        <v>1212327.4861377026</v>
      </c>
      <c r="AQ13" s="66">
        <f t="shared" ca="1" si="9"/>
        <v>-303489643.86626792</v>
      </c>
    </row>
    <row r="14" spans="5:48" x14ac:dyDescent="0.2">
      <c r="E14" t="s">
        <v>418</v>
      </c>
      <c r="F14" t="s">
        <v>419</v>
      </c>
      <c r="G14">
        <v>75</v>
      </c>
      <c r="H14" s="63">
        <v>30000</v>
      </c>
      <c r="I14" s="63">
        <v>580000</v>
      </c>
      <c r="J14" s="63">
        <v>20000</v>
      </c>
      <c r="K14">
        <v>0.6</v>
      </c>
      <c r="M14" t="e">
        <f t="shared" si="4"/>
        <v>#N/A</v>
      </c>
      <c r="N14" s="64" t="s">
        <v>523</v>
      </c>
      <c r="O14" t="s">
        <v>471</v>
      </c>
      <c r="P14">
        <v>500</v>
      </c>
      <c r="Q14">
        <v>2000</v>
      </c>
      <c r="R14">
        <v>0</v>
      </c>
      <c r="S14">
        <v>500</v>
      </c>
      <c r="T14">
        <v>1</v>
      </c>
      <c r="U14" t="s">
        <v>266</v>
      </c>
      <c r="V14">
        <v>1</v>
      </c>
      <c r="W14" s="43">
        <f>Sheet1!BE28</f>
        <v>1185.9687710270803</v>
      </c>
      <c r="X14" s="65">
        <f t="shared" si="2"/>
        <v>592984.38551354012</v>
      </c>
      <c r="Z14" t="s">
        <v>420</v>
      </c>
      <c r="AA14">
        <v>0.2</v>
      </c>
      <c r="AB14">
        <v>0.2</v>
      </c>
      <c r="AC14">
        <v>0.1</v>
      </c>
      <c r="AE14" t="s">
        <v>421</v>
      </c>
      <c r="AG14" t="s">
        <v>530</v>
      </c>
      <c r="AI14" s="66">
        <f ca="1">0.02*AA23</f>
        <v>6149692.5568154622</v>
      </c>
      <c r="AK14">
        <f t="shared" si="5"/>
        <v>7</v>
      </c>
      <c r="AM14" s="66">
        <f t="shared" ca="1" si="6"/>
        <v>-156906971.25076813</v>
      </c>
      <c r="AN14" s="65">
        <f t="shared" si="7"/>
        <v>-2206742.9356833659</v>
      </c>
      <c r="AO14" s="65">
        <f t="shared" si="10"/>
        <v>160663724.80838916</v>
      </c>
      <c r="AP14" s="66">
        <f t="shared" ca="1" si="8"/>
        <v>1101563.6105144748</v>
      </c>
      <c r="AQ14" s="66">
        <f t="shared" ca="1" si="9"/>
        <v>-302388080.25575346</v>
      </c>
      <c r="AT14">
        <v>-40</v>
      </c>
      <c r="AU14">
        <v>-516048161.41451526</v>
      </c>
      <c r="AV14">
        <v>-875519076.86870408</v>
      </c>
    </row>
    <row r="15" spans="5:48" x14ac:dyDescent="0.2">
      <c r="E15" t="s">
        <v>422</v>
      </c>
      <c r="F15" t="s">
        <v>419</v>
      </c>
      <c r="G15">
        <v>93</v>
      </c>
      <c r="H15" s="63">
        <v>16800</v>
      </c>
      <c r="I15" s="63">
        <v>260000</v>
      </c>
      <c r="J15" s="63">
        <v>2700</v>
      </c>
      <c r="K15">
        <v>0.75</v>
      </c>
      <c r="M15" t="e">
        <f t="shared" si="4"/>
        <v>#N/A</v>
      </c>
      <c r="N15" s="64" t="s">
        <v>523</v>
      </c>
      <c r="O15" t="s">
        <v>524</v>
      </c>
      <c r="P15">
        <v>500</v>
      </c>
      <c r="Q15">
        <v>2000</v>
      </c>
      <c r="R15">
        <v>0</v>
      </c>
      <c r="S15">
        <v>500</v>
      </c>
      <c r="T15">
        <v>1</v>
      </c>
      <c r="U15" t="s">
        <v>528</v>
      </c>
      <c r="V15">
        <f>Sheet1!AG16-1</f>
        <v>4</v>
      </c>
      <c r="W15" s="43">
        <f>Sheet1!BF28</f>
        <v>390.05662155436306</v>
      </c>
      <c r="X15" s="65">
        <f t="shared" si="2"/>
        <v>1000000</v>
      </c>
      <c r="Z15" t="s">
        <v>423</v>
      </c>
      <c r="AA15">
        <v>0.1</v>
      </c>
      <c r="AB15">
        <v>0.1</v>
      </c>
      <c r="AC15">
        <v>0.05</v>
      </c>
      <c r="AE15" t="s">
        <v>424</v>
      </c>
      <c r="AG15" t="s">
        <v>425</v>
      </c>
      <c r="AI15" s="66">
        <f>0.15*AI12</f>
        <v>118260</v>
      </c>
      <c r="AK15">
        <f t="shared" si="5"/>
        <v>8</v>
      </c>
      <c r="AM15" s="66">
        <f t="shared" ca="1" si="6"/>
        <v>-156906971.25076813</v>
      </c>
      <c r="AN15" s="65">
        <f t="shared" si="7"/>
        <v>-2283978.9384322832</v>
      </c>
      <c r="AO15" s="65">
        <f t="shared" si="10"/>
        <v>160663724.80838916</v>
      </c>
      <c r="AP15" s="66">
        <f t="shared" ca="1" si="8"/>
        <v>996831.8336637601</v>
      </c>
      <c r="AQ15" s="66">
        <f t="shared" ca="1" si="9"/>
        <v>-301391248.4220897</v>
      </c>
      <c r="AT15">
        <v>-20</v>
      </c>
      <c r="AU15">
        <v>-423421615.01858538</v>
      </c>
      <c r="AV15">
        <v>-603157072.74567986</v>
      </c>
    </row>
    <row r="16" spans="5:48" x14ac:dyDescent="0.2">
      <c r="E16" t="s">
        <v>426</v>
      </c>
      <c r="F16" t="s">
        <v>427</v>
      </c>
      <c r="G16">
        <v>10</v>
      </c>
      <c r="H16">
        <v>500</v>
      </c>
      <c r="I16" s="63">
        <v>41000</v>
      </c>
      <c r="J16">
        <v>730</v>
      </c>
      <c r="K16">
        <v>1</v>
      </c>
      <c r="M16" t="e">
        <f t="shared" si="4"/>
        <v>#N/A</v>
      </c>
      <c r="N16" s="64" t="s">
        <v>523</v>
      </c>
      <c r="O16" t="s">
        <v>525</v>
      </c>
      <c r="P16">
        <v>500</v>
      </c>
      <c r="Q16">
        <v>2000</v>
      </c>
      <c r="R16">
        <v>0</v>
      </c>
      <c r="S16">
        <v>500</v>
      </c>
      <c r="T16">
        <v>1</v>
      </c>
      <c r="U16" t="s">
        <v>527</v>
      </c>
      <c r="V16">
        <f>Sheet1!AK16-1</f>
        <v>6</v>
      </c>
      <c r="W16" s="43">
        <f>Sheet1!BG28</f>
        <v>372.50418904166497</v>
      </c>
      <c r="X16" s="65">
        <f t="shared" si="2"/>
        <v>1500000</v>
      </c>
      <c r="Z16" t="s">
        <v>428</v>
      </c>
      <c r="AA16" s="66">
        <f ca="1">AA6*SUM(AA9:AA15)</f>
        <v>147621425.54416505</v>
      </c>
      <c r="AE16" t="s">
        <v>429</v>
      </c>
      <c r="AF16" t="s">
        <v>365</v>
      </c>
      <c r="AG16" t="s">
        <v>430</v>
      </c>
      <c r="AH16" t="s">
        <v>358</v>
      </c>
      <c r="AI16" t="s">
        <v>367</v>
      </c>
      <c r="AK16">
        <f t="shared" si="5"/>
        <v>9</v>
      </c>
      <c r="AM16" s="66">
        <f t="shared" ca="1" si="6"/>
        <v>-156906971.25076813</v>
      </c>
      <c r="AN16" s="65">
        <f t="shared" si="7"/>
        <v>-2363918.2012774129</v>
      </c>
      <c r="AO16" s="65">
        <f t="shared" si="10"/>
        <v>160663724.80838916</v>
      </c>
      <c r="AP16" s="66">
        <f t="shared" ca="1" si="8"/>
        <v>897834.08952249482</v>
      </c>
      <c r="AQ16" s="66">
        <f t="shared" ca="1" si="9"/>
        <v>-300493414.33256721</v>
      </c>
      <c r="AT16">
        <v>0</v>
      </c>
      <c r="AU16" s="53">
        <v>-330795068.62265533</v>
      </c>
      <c r="AV16" s="53">
        <v>-330795068.62265533</v>
      </c>
    </row>
    <row r="17" spans="5:48" x14ac:dyDescent="0.2">
      <c r="E17" t="s">
        <v>431</v>
      </c>
      <c r="F17" t="s">
        <v>432</v>
      </c>
      <c r="G17">
        <v>10</v>
      </c>
      <c r="H17">
        <v>500</v>
      </c>
      <c r="I17" s="63">
        <v>46000</v>
      </c>
      <c r="J17" s="63">
        <v>1320</v>
      </c>
      <c r="K17">
        <v>1</v>
      </c>
      <c r="M17" t="e">
        <f t="shared" si="4"/>
        <v>#N/A</v>
      </c>
      <c r="N17" s="64" t="s">
        <v>523</v>
      </c>
      <c r="O17" t="s">
        <v>526</v>
      </c>
      <c r="P17">
        <v>500</v>
      </c>
      <c r="Q17">
        <v>2000</v>
      </c>
      <c r="R17">
        <v>0</v>
      </c>
      <c r="S17">
        <v>500</v>
      </c>
      <c r="T17">
        <v>1</v>
      </c>
      <c r="U17" t="s">
        <v>268</v>
      </c>
      <c r="V17">
        <v>1</v>
      </c>
      <c r="W17" s="43">
        <f>Sheet1!BH28</f>
        <v>11075.378190500287</v>
      </c>
      <c r="X17" s="65">
        <f>IF(W17&lt;P17, R17+S17*P17^T17,IF(W17&gt;Q17,(R17+S17*Q17^T17)*W17/Q17,R17+S17*W17^T17))*V17</f>
        <v>5537689.0952501427</v>
      </c>
      <c r="Z17" t="s">
        <v>433</v>
      </c>
      <c r="AA17">
        <v>0.3</v>
      </c>
      <c r="AB17">
        <v>0.4</v>
      </c>
      <c r="AC17">
        <v>0.4</v>
      </c>
      <c r="AE17" t="s">
        <v>434</v>
      </c>
      <c r="AG17" t="s">
        <v>435</v>
      </c>
      <c r="AI17" s="66" t="s">
        <v>436</v>
      </c>
      <c r="AK17">
        <f t="shared" si="5"/>
        <v>10</v>
      </c>
      <c r="AM17" s="66">
        <f t="shared" ca="1" si="6"/>
        <v>-156906971.25076813</v>
      </c>
      <c r="AN17" s="65">
        <f t="shared" si="7"/>
        <v>-2446655.3383221221</v>
      </c>
      <c r="AO17" s="65">
        <f t="shared" si="10"/>
        <v>160663724.80838916</v>
      </c>
      <c r="AP17" s="66">
        <f t="shared" ca="1" si="8"/>
        <v>804286.66026774235</v>
      </c>
      <c r="AQ17" s="66">
        <f t="shared" ca="1" si="9"/>
        <v>-299689127.67229944</v>
      </c>
      <c r="AT17">
        <v>20</v>
      </c>
      <c r="AU17">
        <v>-238168522.22672588</v>
      </c>
      <c r="AV17">
        <v>-58433064.499631345</v>
      </c>
    </row>
    <row r="18" spans="5:48" x14ac:dyDescent="0.2">
      <c r="E18" t="s">
        <v>437</v>
      </c>
      <c r="F18" t="s">
        <v>438</v>
      </c>
      <c r="G18">
        <v>10</v>
      </c>
      <c r="H18">
        <v>30</v>
      </c>
      <c r="I18" s="63">
        <v>17000</v>
      </c>
      <c r="J18" s="63">
        <v>2600</v>
      </c>
      <c r="K18">
        <v>1</v>
      </c>
      <c r="M18">
        <f t="shared" si="4"/>
        <v>28</v>
      </c>
      <c r="N18" s="64" t="s">
        <v>474</v>
      </c>
      <c r="O18" t="str">
        <f t="shared" ref="O18" ca="1" si="11">OFFSET(F$5,$M18,0)</f>
        <v xml:space="preserve"> area, m2</v>
      </c>
      <c r="P18">
        <f t="shared" ref="P18" ca="1" si="12">OFFSET(G$5,$M18,0)</f>
        <v>10</v>
      </c>
      <c r="Q18">
        <f t="shared" ref="Q18" ca="1" si="13">OFFSET(H$5,$M18,0)</f>
        <v>500</v>
      </c>
      <c r="R18">
        <f t="shared" ref="R18" ca="1" si="14">OFFSET(I$5,$M18,0)</f>
        <v>30400</v>
      </c>
      <c r="S18">
        <f t="shared" ref="S18" ca="1" si="15">OFFSET(J$5,$M18,0)</f>
        <v>122</v>
      </c>
      <c r="T18">
        <f t="shared" ref="T18" ca="1" si="16">OFFSET(K$5,$M18,0)</f>
        <v>1.1000000000000001</v>
      </c>
      <c r="U18" t="s">
        <v>269</v>
      </c>
      <c r="V18">
        <v>1</v>
      </c>
      <c r="W18" s="43">
        <f>Sheet1!BI28</f>
        <v>1019.9166569170835</v>
      </c>
      <c r="X18" s="65">
        <f ca="1">IF(W18&lt;P18, R18+S18*P18^T18,IF(W18&gt;Q18,(R18+S18*Q18^T18)*W18/Q18,R18+S18*W18^T18))*V18</f>
        <v>293655.17810849106</v>
      </c>
      <c r="Z18" t="s">
        <v>439</v>
      </c>
      <c r="AA18">
        <v>0.3</v>
      </c>
      <c r="AB18">
        <v>0.25</v>
      </c>
      <c r="AC18">
        <v>0.2</v>
      </c>
      <c r="AE18" t="s">
        <v>440</v>
      </c>
      <c r="AG18" t="s">
        <v>441</v>
      </c>
      <c r="AI18" s="66">
        <f ca="1">0.03*AA23</f>
        <v>9224538.8352231923</v>
      </c>
      <c r="AK18">
        <f t="shared" si="5"/>
        <v>11</v>
      </c>
      <c r="AM18" s="66">
        <f t="shared" ca="1" si="6"/>
        <v>-156906971.25076813</v>
      </c>
      <c r="AN18" s="65">
        <f t="shared" si="7"/>
        <v>-2532288.2751633967</v>
      </c>
      <c r="AO18" s="65">
        <f t="shared" si="10"/>
        <v>160663724.80838916</v>
      </c>
      <c r="AP18" s="66">
        <f t="shared" ca="1" si="8"/>
        <v>715919.49085836241</v>
      </c>
      <c r="AQ18" s="66">
        <f t="shared" ca="1" si="9"/>
        <v>-298973208.18144107</v>
      </c>
      <c r="AT18">
        <v>40</v>
      </c>
      <c r="AU18">
        <v>-145541975.83079597</v>
      </c>
      <c r="AV18">
        <v>213928939.62339315</v>
      </c>
    </row>
    <row r="19" spans="5:48" x14ac:dyDescent="0.2">
      <c r="E19" t="s">
        <v>442</v>
      </c>
      <c r="F19" t="s">
        <v>443</v>
      </c>
      <c r="G19">
        <v>30</v>
      </c>
      <c r="H19">
        <v>400</v>
      </c>
      <c r="I19" s="63">
        <v>68400</v>
      </c>
      <c r="J19">
        <v>730</v>
      </c>
      <c r="K19">
        <v>1</v>
      </c>
      <c r="M19">
        <f t="shared" si="4"/>
        <v>40</v>
      </c>
      <c r="N19" s="64" t="s">
        <v>492</v>
      </c>
      <c r="O19" t="str">
        <f t="shared" ca="1" si="1"/>
        <v>mass,kg</v>
      </c>
      <c r="P19">
        <f t="shared" ca="1" si="1"/>
        <v>160</v>
      </c>
      <c r="Q19">
        <f t="shared" ca="1" si="0"/>
        <v>250000</v>
      </c>
      <c r="R19">
        <f t="shared" ca="1" si="0"/>
        <v>11600</v>
      </c>
      <c r="S19">
        <f t="shared" ca="1" si="0"/>
        <v>34</v>
      </c>
      <c r="T19">
        <f t="shared" ca="1" si="0"/>
        <v>0.85</v>
      </c>
      <c r="U19" t="s">
        <v>336</v>
      </c>
      <c r="V19">
        <v>1</v>
      </c>
      <c r="W19">
        <f>Sheet1!BU29</f>
        <v>301688.40086202411</v>
      </c>
      <c r="X19" s="65">
        <f ca="1">IF(W19&lt;P19, R19+S19*P19^T19,IF(W19&gt;Q19,(R19+S19*Q19^T19)*W19/Q19,R19+S19*W19^T19))*V19</f>
        <v>1603813.1165850917</v>
      </c>
      <c r="Z19" t="s">
        <v>444</v>
      </c>
      <c r="AA19">
        <v>0.1</v>
      </c>
      <c r="AB19">
        <v>0.1</v>
      </c>
      <c r="AC19">
        <v>0.1</v>
      </c>
      <c r="AE19" t="s">
        <v>445</v>
      </c>
      <c r="AG19" t="s">
        <v>446</v>
      </c>
      <c r="AI19" s="66">
        <f ca="1">0.7*AI12+0.03*AA23</f>
        <v>9776418.8352231923</v>
      </c>
      <c r="AK19">
        <f t="shared" si="5"/>
        <v>12</v>
      </c>
      <c r="AM19" s="66">
        <f t="shared" ca="1" si="6"/>
        <v>-156906971.25076813</v>
      </c>
      <c r="AN19" s="65">
        <f t="shared" si="7"/>
        <v>-2620918.3647941155</v>
      </c>
      <c r="AO19" s="65">
        <f t="shared" si="10"/>
        <v>160663724.80838916</v>
      </c>
      <c r="AP19" s="66">
        <f t="shared" ca="1" si="8"/>
        <v>632475.53624895634</v>
      </c>
      <c r="AQ19" s="66">
        <f t="shared" ca="1" si="9"/>
        <v>-298340732.64519209</v>
      </c>
      <c r="AT19">
        <v>100</v>
      </c>
      <c r="AU19">
        <v>132337663.35699339</v>
      </c>
      <c r="AV19">
        <v>1031014951.9924662</v>
      </c>
    </row>
    <row r="20" spans="5:48" x14ac:dyDescent="0.2">
      <c r="E20" t="s">
        <v>447</v>
      </c>
      <c r="F20" t="s">
        <v>448</v>
      </c>
      <c r="G20">
        <v>200</v>
      </c>
      <c r="H20" s="63">
        <v>4000</v>
      </c>
      <c r="I20" s="63">
        <v>16000</v>
      </c>
      <c r="J20">
        <v>670</v>
      </c>
      <c r="K20">
        <v>0.5</v>
      </c>
      <c r="M20">
        <f t="shared" si="4"/>
        <v>40</v>
      </c>
      <c r="N20" s="64" t="s">
        <v>492</v>
      </c>
      <c r="O20" t="str">
        <f t="shared" ca="1" si="1"/>
        <v>mass,kg</v>
      </c>
      <c r="P20">
        <f t="shared" ca="1" si="1"/>
        <v>160</v>
      </c>
      <c r="Q20">
        <f t="shared" ca="1" si="0"/>
        <v>250000</v>
      </c>
      <c r="R20">
        <f t="shared" ca="1" si="0"/>
        <v>11600</v>
      </c>
      <c r="S20">
        <f t="shared" ca="1" si="0"/>
        <v>34</v>
      </c>
      <c r="T20">
        <f t="shared" ca="1" si="0"/>
        <v>0.85</v>
      </c>
      <c r="U20" t="s">
        <v>337</v>
      </c>
      <c r="V20">
        <v>1</v>
      </c>
      <c r="W20">
        <f>Sheet1!BV29</f>
        <v>9988.4096841208375</v>
      </c>
      <c r="X20" s="65">
        <f ca="1">IF(W20&lt;P20, R20+S20*P20^T20,IF(W20&gt;Q20,(R20+S20*Q20^T20)*W20/Q20,R20+S20*W20^T20))*V20</f>
        <v>96919.993173873518</v>
      </c>
      <c r="Z20" t="s">
        <v>449</v>
      </c>
      <c r="AA20" s="66">
        <f ca="1" xml:space="preserve"> AA16*(1+AA17)*(1+AA18+AA19)</f>
        <v>268670994.49038041</v>
      </c>
      <c r="AE20" t="s">
        <v>450</v>
      </c>
      <c r="AG20" t="s">
        <v>451</v>
      </c>
      <c r="AI20" s="66">
        <f ca="1">0.17*AI12+0.009*AA23</f>
        <v>2901389.6505669579</v>
      </c>
      <c r="AK20">
        <f t="shared" si="5"/>
        <v>13</v>
      </c>
      <c r="AM20" s="66">
        <f t="shared" ca="1" si="6"/>
        <v>-156906971.25076813</v>
      </c>
      <c r="AN20" s="65">
        <f t="shared" si="7"/>
        <v>-2712650.5075619086</v>
      </c>
      <c r="AO20" s="65">
        <f t="shared" si="10"/>
        <v>160663724.80838916</v>
      </c>
      <c r="AP20" s="66">
        <f t="shared" ca="1" si="8"/>
        <v>553710.13972021884</v>
      </c>
      <c r="AQ20" s="66">
        <f t="shared" ca="1" si="9"/>
        <v>-297787022.50547189</v>
      </c>
    </row>
    <row r="21" spans="5:48" x14ac:dyDescent="0.2">
      <c r="E21" t="s">
        <v>452</v>
      </c>
      <c r="F21" t="s">
        <v>453</v>
      </c>
      <c r="G21">
        <v>100</v>
      </c>
      <c r="H21">
        <v>600</v>
      </c>
      <c r="I21" s="63">
        <v>-8000</v>
      </c>
      <c r="J21" s="63">
        <v>62000</v>
      </c>
      <c r="K21">
        <v>0.5</v>
      </c>
      <c r="M21">
        <f t="shared" si="4"/>
        <v>52</v>
      </c>
      <c r="N21" s="64" t="s">
        <v>509</v>
      </c>
      <c r="O21" t="str">
        <f t="shared" ca="1" si="1"/>
        <v>diameter,m</v>
      </c>
      <c r="P21">
        <f t="shared" ca="1" si="1"/>
        <v>0.5</v>
      </c>
      <c r="Q21">
        <f t="shared" ca="1" si="0"/>
        <v>5</v>
      </c>
      <c r="R21">
        <f t="shared" ca="1" si="0"/>
        <v>210</v>
      </c>
      <c r="S21">
        <f t="shared" ca="1" si="0"/>
        <v>400</v>
      </c>
      <c r="T21">
        <f t="shared" ca="1" si="0"/>
        <v>1.9</v>
      </c>
      <c r="U21" t="s">
        <v>337</v>
      </c>
      <c r="V21">
        <v>23</v>
      </c>
      <c r="W21">
        <f>Sheet1!BV17</f>
        <v>3.7316479133790326</v>
      </c>
      <c r="X21" s="65">
        <f ca="1">IF(W21&lt;P21, R21+S21*P21^T21,IF(W21&gt;Q21,(R21+S21*Q21^T21)*W21/Q21,R21+S21*W21^T21))*V21</f>
        <v>117134.99752487194</v>
      </c>
      <c r="Z21" t="s">
        <v>454</v>
      </c>
      <c r="AA21" s="66">
        <f ca="1">AA20*610/533</f>
        <v>307484627.84077311</v>
      </c>
      <c r="AH21" t="s">
        <v>455</v>
      </c>
      <c r="AI21" s="66">
        <f ca="1">SUM(AI6:AI20)</f>
        <v>158641451.25076813</v>
      </c>
      <c r="AK21">
        <f t="shared" si="5"/>
        <v>14</v>
      </c>
      <c r="AM21" s="66">
        <f t="shared" ca="1" si="6"/>
        <v>-156906971.25076813</v>
      </c>
      <c r="AN21" s="65">
        <f t="shared" si="7"/>
        <v>-2807593.2753265761</v>
      </c>
      <c r="AO21" s="65">
        <f t="shared" si="10"/>
        <v>160663724.80838916</v>
      </c>
      <c r="AP21" s="66">
        <f t="shared" ca="1" si="8"/>
        <v>479390.44084310776</v>
      </c>
      <c r="AQ21" s="66">
        <f t="shared" ca="1" si="9"/>
        <v>-297307632.06462878</v>
      </c>
    </row>
    <row r="22" spans="5:48" x14ac:dyDescent="0.2">
      <c r="E22" t="s">
        <v>456</v>
      </c>
      <c r="F22" t="s">
        <v>453</v>
      </c>
      <c r="G22">
        <v>200</v>
      </c>
      <c r="H22" s="63">
        <v>3000</v>
      </c>
      <c r="I22" s="63">
        <v>5000</v>
      </c>
      <c r="J22" s="63">
        <v>5100</v>
      </c>
      <c r="K22">
        <v>0.7</v>
      </c>
      <c r="M22" t="e">
        <f t="shared" si="4"/>
        <v>#N/A</v>
      </c>
      <c r="N22" s="64"/>
      <c r="O22" t="e">
        <f t="shared" ca="1" si="1"/>
        <v>#N/A</v>
      </c>
      <c r="P22" t="e">
        <f t="shared" ca="1" si="1"/>
        <v>#N/A</v>
      </c>
      <c r="Q22" t="e">
        <f t="shared" ca="1" si="1"/>
        <v>#N/A</v>
      </c>
      <c r="R22" t="e">
        <f t="shared" ca="1" si="1"/>
        <v>#N/A</v>
      </c>
      <c r="S22" t="e">
        <f t="shared" ca="1" si="1"/>
        <v>#N/A</v>
      </c>
      <c r="T22" t="e">
        <f t="shared" ca="1" si="1"/>
        <v>#N/A</v>
      </c>
      <c r="W22" s="43"/>
      <c r="X22" s="65"/>
      <c r="Z22" t="s">
        <v>457</v>
      </c>
      <c r="AA22">
        <v>1</v>
      </c>
      <c r="AH22" t="s">
        <v>389</v>
      </c>
      <c r="AI22" s="66">
        <f ca="1">AI21-2.2*AI12</f>
        <v>156906971.25076813</v>
      </c>
      <c r="AK22">
        <f t="shared" si="5"/>
        <v>15</v>
      </c>
      <c r="AM22" s="66">
        <f t="shared" ca="1" si="6"/>
        <v>-156906971.25076813</v>
      </c>
      <c r="AN22" s="65">
        <f t="shared" si="7"/>
        <v>-2905859.0399630056</v>
      </c>
      <c r="AO22" s="65">
        <f t="shared" si="10"/>
        <v>160663724.80838916</v>
      </c>
      <c r="AP22" s="66">
        <f t="shared" ca="1" si="8"/>
        <v>409294.81166537898</v>
      </c>
      <c r="AQ22" s="66">
        <f t="shared" ca="1" si="9"/>
        <v>-296898337.25296342</v>
      </c>
    </row>
    <row r="23" spans="5:48" x14ac:dyDescent="0.2">
      <c r="E23" t="s">
        <v>458</v>
      </c>
      <c r="F23" t="s">
        <v>443</v>
      </c>
      <c r="G23">
        <v>0.7</v>
      </c>
      <c r="H23">
        <v>60</v>
      </c>
      <c r="I23" s="63">
        <v>-23000</v>
      </c>
      <c r="J23" s="63">
        <v>242000</v>
      </c>
      <c r="K23">
        <v>0.4</v>
      </c>
      <c r="M23" t="e">
        <f t="shared" si="4"/>
        <v>#N/A</v>
      </c>
      <c r="N23" s="64"/>
      <c r="O23" t="e">
        <f t="shared" ca="1" si="1"/>
        <v>#N/A</v>
      </c>
      <c r="P23" t="e">
        <f t="shared" ca="1" si="1"/>
        <v>#N/A</v>
      </c>
      <c r="Q23" t="e">
        <f t="shared" ca="1" si="1"/>
        <v>#N/A</v>
      </c>
      <c r="R23" t="e">
        <f t="shared" ca="1" si="1"/>
        <v>#N/A</v>
      </c>
      <c r="S23" t="e">
        <f t="shared" ca="1" si="1"/>
        <v>#N/A</v>
      </c>
      <c r="T23" t="e">
        <f t="shared" ca="1" si="1"/>
        <v>#N/A</v>
      </c>
      <c r="X23" s="65"/>
      <c r="Z23" t="s">
        <v>459</v>
      </c>
      <c r="AA23" s="66">
        <f ca="1">AA21*AA22</f>
        <v>307484627.84077311</v>
      </c>
      <c r="AH23" t="s">
        <v>390</v>
      </c>
      <c r="AI23" s="66">
        <f>2.2*AI12</f>
        <v>1734480.0000000002</v>
      </c>
      <c r="AK23">
        <f t="shared" si="5"/>
        <v>16</v>
      </c>
      <c r="AM23" s="66">
        <f t="shared" ca="1" si="6"/>
        <v>-156906971.25076813</v>
      </c>
      <c r="AN23" s="65">
        <f t="shared" si="7"/>
        <v>-3007564.1063617105</v>
      </c>
      <c r="AO23" s="65">
        <f t="shared" si="10"/>
        <v>160663724.80838916</v>
      </c>
      <c r="AP23" s="66">
        <f t="shared" ca="1" si="8"/>
        <v>343212.31977630674</v>
      </c>
      <c r="AQ23" s="66">
        <f t="shared" ca="1" si="9"/>
        <v>-296555124.93318713</v>
      </c>
    </row>
    <row r="24" spans="5:48" x14ac:dyDescent="0.2">
      <c r="E24" t="s">
        <v>460</v>
      </c>
      <c r="F24" t="s">
        <v>432</v>
      </c>
      <c r="G24">
        <v>7</v>
      </c>
      <c r="H24">
        <v>280</v>
      </c>
      <c r="I24" s="63">
        <v>10000</v>
      </c>
      <c r="J24" s="63">
        <v>13200</v>
      </c>
      <c r="K24">
        <v>0.8</v>
      </c>
      <c r="M24" t="e">
        <f t="shared" si="4"/>
        <v>#N/A</v>
      </c>
      <c r="N24" s="64"/>
      <c r="O24" t="e">
        <f t="shared" ca="1" si="1"/>
        <v>#N/A</v>
      </c>
      <c r="P24" t="e">
        <f t="shared" ca="1" si="1"/>
        <v>#N/A</v>
      </c>
      <c r="Q24" t="e">
        <f t="shared" ca="1" si="1"/>
        <v>#N/A</v>
      </c>
      <c r="R24" t="e">
        <f t="shared" ca="1" si="1"/>
        <v>#N/A</v>
      </c>
      <c r="S24" t="e">
        <f t="shared" ca="1" si="1"/>
        <v>#N/A</v>
      </c>
      <c r="T24" t="e">
        <f t="shared" ca="1" si="1"/>
        <v>#N/A</v>
      </c>
      <c r="X24" s="65"/>
      <c r="AE24" t="s">
        <v>529</v>
      </c>
      <c r="AF24">
        <f>(6.29+0.23*9)^0.5</f>
        <v>2.8913664589601922</v>
      </c>
      <c r="AK24">
        <f t="shared" si="5"/>
        <v>17</v>
      </c>
      <c r="AM24" s="66">
        <f t="shared" ca="1" si="6"/>
        <v>-156906971.25076813</v>
      </c>
      <c r="AN24" s="65">
        <f t="shared" si="7"/>
        <v>-3112828.85008437</v>
      </c>
      <c r="AO24" s="65">
        <f t="shared" si="10"/>
        <v>160663724.80838916</v>
      </c>
      <c r="AP24" s="66">
        <f t="shared" ca="1" si="8"/>
        <v>280942.21696903813</v>
      </c>
      <c r="AQ24" s="66">
        <f t="shared" ca="1" si="9"/>
        <v>-296274182.71621811</v>
      </c>
    </row>
    <row r="25" spans="5:48" x14ac:dyDescent="0.2">
      <c r="E25" t="s">
        <v>461</v>
      </c>
      <c r="F25" t="s">
        <v>462</v>
      </c>
      <c r="G25">
        <v>11</v>
      </c>
      <c r="H25">
        <v>180</v>
      </c>
      <c r="I25" s="63">
        <v>15000</v>
      </c>
      <c r="J25" s="63">
        <v>10500</v>
      </c>
      <c r="K25">
        <v>0.9</v>
      </c>
      <c r="M25" t="e">
        <f t="shared" si="4"/>
        <v>#N/A</v>
      </c>
      <c r="N25" s="64"/>
      <c r="O25" t="e">
        <f t="shared" ca="1" si="1"/>
        <v>#N/A</v>
      </c>
      <c r="P25" t="e">
        <f t="shared" ca="1" si="1"/>
        <v>#N/A</v>
      </c>
      <c r="Q25" t="e">
        <f t="shared" ca="1" si="1"/>
        <v>#N/A</v>
      </c>
      <c r="R25" t="e">
        <f t="shared" ca="1" si="1"/>
        <v>#N/A</v>
      </c>
      <c r="S25" t="e">
        <f t="shared" ca="1" si="1"/>
        <v>#N/A</v>
      </c>
      <c r="T25" t="e">
        <f t="shared" ca="1" si="1"/>
        <v>#N/A</v>
      </c>
      <c r="X25" s="65"/>
      <c r="AK25">
        <f t="shared" si="5"/>
        <v>18</v>
      </c>
      <c r="AM25" s="66">
        <f t="shared" ca="1" si="6"/>
        <v>-156906971.25076813</v>
      </c>
      <c r="AN25" s="65">
        <f t="shared" si="7"/>
        <v>-3221777.8598373225</v>
      </c>
      <c r="AO25" s="65">
        <f t="shared" si="10"/>
        <v>160663724.80838916</v>
      </c>
      <c r="AP25" s="66">
        <f t="shared" ca="1" si="8"/>
        <v>222293.45228127533</v>
      </c>
      <c r="AQ25" s="66">
        <f t="shared" ca="1" si="9"/>
        <v>-296051889.26393682</v>
      </c>
    </row>
    <row r="26" spans="5:48" x14ac:dyDescent="0.2">
      <c r="E26" t="s">
        <v>463</v>
      </c>
      <c r="F26" t="s">
        <v>464</v>
      </c>
      <c r="G26">
        <v>3</v>
      </c>
      <c r="H26">
        <v>20</v>
      </c>
      <c r="I26" s="63">
        <v>10000</v>
      </c>
      <c r="J26" s="63">
        <v>7900</v>
      </c>
      <c r="K26">
        <v>0.5</v>
      </c>
      <c r="M26" t="e">
        <f t="shared" si="4"/>
        <v>#N/A</v>
      </c>
      <c r="N26" s="64"/>
      <c r="O26" t="e">
        <f t="shared" ca="1" si="1"/>
        <v>#N/A</v>
      </c>
      <c r="P26" t="e">
        <f t="shared" ca="1" si="1"/>
        <v>#N/A</v>
      </c>
      <c r="Q26" t="e">
        <f t="shared" ca="1" si="1"/>
        <v>#N/A</v>
      </c>
      <c r="R26" t="e">
        <f t="shared" ca="1" si="1"/>
        <v>#N/A</v>
      </c>
      <c r="S26" t="e">
        <f t="shared" ca="1" si="1"/>
        <v>#N/A</v>
      </c>
      <c r="T26" t="e">
        <f t="shared" ca="1" si="1"/>
        <v>#N/A</v>
      </c>
      <c r="X26" s="65"/>
      <c r="AK26">
        <f t="shared" si="5"/>
        <v>19</v>
      </c>
      <c r="AM26" s="66">
        <f t="shared" ca="1" si="6"/>
        <v>-156906971.25076813</v>
      </c>
      <c r="AN26" s="65">
        <f t="shared" si="7"/>
        <v>-3334540.0849316288</v>
      </c>
      <c r="AO26" s="65">
        <f t="shared" si="10"/>
        <v>160663724.80838916</v>
      </c>
      <c r="AP26" s="66">
        <f t="shared" ca="1" si="8"/>
        <v>167084.20825311393</v>
      </c>
      <c r="AQ26" s="66">
        <f t="shared" ca="1" si="9"/>
        <v>-295884805.05568373</v>
      </c>
    </row>
    <row r="27" spans="5:48" x14ac:dyDescent="0.2">
      <c r="E27" t="s">
        <v>465</v>
      </c>
      <c r="F27" t="s">
        <v>466</v>
      </c>
      <c r="G27">
        <v>400</v>
      </c>
      <c r="H27" s="63">
        <v>4000</v>
      </c>
      <c r="I27" s="63">
        <v>410000</v>
      </c>
      <c r="J27" s="63">
        <v>2200</v>
      </c>
      <c r="K27">
        <v>0.7</v>
      </c>
      <c r="M27" t="e">
        <f t="shared" si="4"/>
        <v>#N/A</v>
      </c>
      <c r="N27" s="64"/>
      <c r="O27" t="e">
        <f t="shared" ca="1" si="1"/>
        <v>#N/A</v>
      </c>
      <c r="P27" t="e">
        <f t="shared" ca="1" si="1"/>
        <v>#N/A</v>
      </c>
      <c r="Q27" t="e">
        <f t="shared" ca="1" si="1"/>
        <v>#N/A</v>
      </c>
      <c r="R27" t="e">
        <f t="shared" ca="1" si="1"/>
        <v>#N/A</v>
      </c>
      <c r="S27" t="e">
        <f t="shared" ca="1" si="1"/>
        <v>#N/A</v>
      </c>
      <c r="T27" t="e">
        <f t="shared" ca="1" si="1"/>
        <v>#N/A</v>
      </c>
      <c r="X27" s="65"/>
      <c r="AK27">
        <f t="shared" si="5"/>
        <v>20</v>
      </c>
      <c r="AM27" s="66">
        <f t="shared" ca="1" si="6"/>
        <v>-156906971.25076813</v>
      </c>
      <c r="AN27" s="65">
        <f t="shared" si="7"/>
        <v>-3451248.9879042353</v>
      </c>
      <c r="AO27" s="65">
        <f t="shared" si="10"/>
        <v>160663724.80838916</v>
      </c>
      <c r="AP27" s="66">
        <f t="shared" ca="1" si="8"/>
        <v>115141.45929590752</v>
      </c>
      <c r="AQ27" s="66">
        <f t="shared" ca="1" si="9"/>
        <v>-295769663.5963878</v>
      </c>
    </row>
    <row r="28" spans="5:48" x14ac:dyDescent="0.2">
      <c r="E28" t="s">
        <v>467</v>
      </c>
      <c r="F28" t="s">
        <v>468</v>
      </c>
      <c r="G28">
        <v>11</v>
      </c>
      <c r="H28">
        <v>640</v>
      </c>
      <c r="I28">
        <v>330</v>
      </c>
      <c r="J28" s="63">
        <v>36000</v>
      </c>
      <c r="K28">
        <v>0.55000000000000004</v>
      </c>
      <c r="M28" t="e">
        <f t="shared" si="4"/>
        <v>#N/A</v>
      </c>
      <c r="N28" s="64"/>
      <c r="O28" t="e">
        <f t="shared" ca="1" si="1"/>
        <v>#N/A</v>
      </c>
      <c r="P28" t="e">
        <f t="shared" ca="1" si="1"/>
        <v>#N/A</v>
      </c>
      <c r="Q28" t="e">
        <f t="shared" ca="1" si="1"/>
        <v>#N/A</v>
      </c>
      <c r="R28" t="e">
        <f t="shared" ca="1" si="1"/>
        <v>#N/A</v>
      </c>
      <c r="S28" t="e">
        <f t="shared" ca="1" si="1"/>
        <v>#N/A</v>
      </c>
      <c r="T28" t="e">
        <f t="shared" ca="1" si="1"/>
        <v>#N/A</v>
      </c>
      <c r="X28" s="65"/>
      <c r="AK28">
        <f t="shared" si="5"/>
        <v>21</v>
      </c>
      <c r="AM28" s="66">
        <f t="shared" ca="1" si="6"/>
        <v>-156906971.25076813</v>
      </c>
      <c r="AN28" s="65">
        <f t="shared" si="7"/>
        <v>-3572042.7024808829</v>
      </c>
      <c r="AO28" s="65">
        <f t="shared" si="10"/>
        <v>160663724.80838916</v>
      </c>
      <c r="AP28" s="66">
        <f t="shared" ca="1" si="8"/>
        <v>66300.551118857809</v>
      </c>
      <c r="AQ28" s="66">
        <f t="shared" ca="1" si="9"/>
        <v>-295703363.04526895</v>
      </c>
    </row>
    <row r="29" spans="5:48" x14ac:dyDescent="0.2">
      <c r="E29" t="s">
        <v>469</v>
      </c>
      <c r="F29" t="s">
        <v>464</v>
      </c>
      <c r="G29">
        <v>0.5</v>
      </c>
      <c r="H29">
        <v>12</v>
      </c>
      <c r="I29" s="63">
        <v>88000</v>
      </c>
      <c r="J29" s="63">
        <v>65500</v>
      </c>
      <c r="K29">
        <v>0.75</v>
      </c>
      <c r="M29" t="e">
        <f t="shared" si="4"/>
        <v>#N/A</v>
      </c>
      <c r="N29" s="64"/>
      <c r="O29" t="e">
        <f t="shared" ca="1" si="1"/>
        <v>#N/A</v>
      </c>
      <c r="P29" t="e">
        <f t="shared" ca="1" si="1"/>
        <v>#N/A</v>
      </c>
      <c r="Q29" t="e">
        <f t="shared" ca="1" si="1"/>
        <v>#N/A</v>
      </c>
      <c r="R29" t="e">
        <f t="shared" ca="1" si="1"/>
        <v>#N/A</v>
      </c>
      <c r="S29" t="e">
        <f t="shared" ca="1" si="1"/>
        <v>#N/A</v>
      </c>
      <c r="T29" t="e">
        <f t="shared" ca="1" si="1"/>
        <v>#N/A</v>
      </c>
      <c r="X29" s="65"/>
      <c r="AK29">
        <f t="shared" si="5"/>
        <v>22</v>
      </c>
      <c r="AM29" s="66">
        <f t="shared" ca="1" si="6"/>
        <v>-156906971.25076813</v>
      </c>
      <c r="AN29" s="65">
        <f t="shared" si="7"/>
        <v>-3697064.1970677138</v>
      </c>
      <c r="AO29" s="65">
        <f t="shared" si="10"/>
        <v>160663724.80838916</v>
      </c>
      <c r="AP29" s="66">
        <f t="shared" ca="1" si="8"/>
        <v>20404.800210396777</v>
      </c>
      <c r="AQ29" s="66">
        <f t="shared" ca="1" si="9"/>
        <v>-295682958.24505854</v>
      </c>
    </row>
    <row r="30" spans="5:48" x14ac:dyDescent="0.2">
      <c r="E30" t="s">
        <v>470</v>
      </c>
      <c r="F30" t="s">
        <v>471</v>
      </c>
      <c r="G30">
        <v>10</v>
      </c>
      <c r="H30" s="63">
        <v>1000</v>
      </c>
      <c r="I30" s="63">
        <v>28000</v>
      </c>
      <c r="J30">
        <v>54</v>
      </c>
      <c r="K30">
        <v>1.2</v>
      </c>
      <c r="M30" t="e">
        <f t="shared" si="4"/>
        <v>#N/A</v>
      </c>
      <c r="N30" s="64"/>
      <c r="O30" t="e">
        <f t="shared" ca="1" si="1"/>
        <v>#N/A</v>
      </c>
      <c r="P30" t="e">
        <f t="shared" ca="1" si="1"/>
        <v>#N/A</v>
      </c>
      <c r="Q30" t="e">
        <f t="shared" ca="1" si="1"/>
        <v>#N/A</v>
      </c>
      <c r="R30" t="e">
        <f t="shared" ca="1" si="1"/>
        <v>#N/A</v>
      </c>
      <c r="S30" t="e">
        <f t="shared" ca="1" si="1"/>
        <v>#N/A</v>
      </c>
      <c r="T30" t="e">
        <f t="shared" ca="1" si="1"/>
        <v>#N/A</v>
      </c>
      <c r="X30" s="65"/>
      <c r="AK30">
        <f t="shared" si="5"/>
        <v>23</v>
      </c>
      <c r="AM30" s="66">
        <f t="shared" ca="1" si="6"/>
        <v>-156906971.25076813</v>
      </c>
      <c r="AN30" s="65">
        <f t="shared" si="7"/>
        <v>-3826461.4439650839</v>
      </c>
      <c r="AO30" s="65">
        <f t="shared" si="10"/>
        <v>160663724.80838916</v>
      </c>
      <c r="AP30" s="66">
        <f t="shared" ca="1" si="8"/>
        <v>-22694.887581364575</v>
      </c>
      <c r="AQ30" s="66">
        <f t="shared" ca="1" si="9"/>
        <v>-295705653.13263988</v>
      </c>
    </row>
    <row r="31" spans="5:48" x14ac:dyDescent="0.2">
      <c r="E31" t="s">
        <v>472</v>
      </c>
      <c r="F31" t="s">
        <v>471</v>
      </c>
      <c r="G31">
        <v>10</v>
      </c>
      <c r="H31" s="63">
        <v>1000</v>
      </c>
      <c r="I31" s="63">
        <v>32000</v>
      </c>
      <c r="J31">
        <v>70</v>
      </c>
      <c r="K31">
        <v>1.2</v>
      </c>
      <c r="M31" t="e">
        <f t="shared" si="4"/>
        <v>#N/A</v>
      </c>
      <c r="N31" s="64"/>
      <c r="O31" t="e">
        <f t="shared" ca="1" si="1"/>
        <v>#N/A</v>
      </c>
      <c r="P31" t="e">
        <f t="shared" ca="1" si="1"/>
        <v>#N/A</v>
      </c>
      <c r="Q31" t="e">
        <f t="shared" ca="1" si="1"/>
        <v>#N/A</v>
      </c>
      <c r="R31" t="e">
        <f t="shared" ca="1" si="1"/>
        <v>#N/A</v>
      </c>
      <c r="S31" t="e">
        <f t="shared" ca="1" si="1"/>
        <v>#N/A</v>
      </c>
      <c r="T31" t="e">
        <f t="shared" ca="1" si="1"/>
        <v>#N/A</v>
      </c>
      <c r="X31" s="65"/>
      <c r="AK31">
        <f t="shared" si="5"/>
        <v>24</v>
      </c>
      <c r="AM31" s="66">
        <f t="shared" ca="1" si="6"/>
        <v>-156906971.25076813</v>
      </c>
      <c r="AN31" s="65">
        <f t="shared" si="7"/>
        <v>-3960387.5945038609</v>
      </c>
      <c r="AO31" s="65">
        <f t="shared" si="10"/>
        <v>160663724.80838916</v>
      </c>
      <c r="AP31" s="66">
        <f t="shared" ca="1" si="8"/>
        <v>-63140.380278675417</v>
      </c>
      <c r="AQ31" s="66">
        <f t="shared" ca="1" si="9"/>
        <v>-295768793.51291853</v>
      </c>
    </row>
    <row r="32" spans="5:48" x14ac:dyDescent="0.2">
      <c r="E32" t="s">
        <v>473</v>
      </c>
      <c r="F32" t="s">
        <v>468</v>
      </c>
      <c r="G32">
        <v>1</v>
      </c>
      <c r="H32">
        <v>80</v>
      </c>
      <c r="I32" s="63">
        <v>1900</v>
      </c>
      <c r="J32" s="63">
        <v>2500</v>
      </c>
      <c r="K32">
        <v>1</v>
      </c>
      <c r="M32" t="e">
        <f t="shared" si="4"/>
        <v>#N/A</v>
      </c>
      <c r="N32" s="64"/>
      <c r="O32" t="e">
        <f t="shared" ca="1" si="1"/>
        <v>#N/A</v>
      </c>
      <c r="P32" t="e">
        <f t="shared" ca="1" si="1"/>
        <v>#N/A</v>
      </c>
      <c r="Q32" t="e">
        <f t="shared" ca="1" si="1"/>
        <v>#N/A</v>
      </c>
      <c r="R32" t="e">
        <f t="shared" ca="1" si="1"/>
        <v>#N/A</v>
      </c>
      <c r="S32" t="e">
        <f t="shared" ca="1" si="1"/>
        <v>#N/A</v>
      </c>
      <c r="T32" t="e">
        <f t="shared" ca="1" si="1"/>
        <v>#N/A</v>
      </c>
      <c r="X32" s="65"/>
      <c r="AK32">
        <f t="shared" si="5"/>
        <v>25</v>
      </c>
      <c r="AM32" s="66">
        <f t="shared" ca="1" si="6"/>
        <v>-156906971.25076813</v>
      </c>
      <c r="AN32" s="65">
        <f t="shared" si="7"/>
        <v>-4099001.1603114959</v>
      </c>
      <c r="AO32" s="65">
        <f t="shared" si="10"/>
        <v>160663724.80838916</v>
      </c>
      <c r="AP32" s="66">
        <f t="shared" ca="1" si="8"/>
        <v>-101066.6656814068</v>
      </c>
      <c r="AQ32" s="66">
        <f t="shared" ca="1" si="9"/>
        <v>-295869860.17859995</v>
      </c>
    </row>
    <row r="33" spans="5:43" x14ac:dyDescent="0.2">
      <c r="E33" t="s">
        <v>474</v>
      </c>
      <c r="F33" t="s">
        <v>471</v>
      </c>
      <c r="G33">
        <v>10</v>
      </c>
      <c r="H33">
        <v>500</v>
      </c>
      <c r="I33" s="63">
        <v>30400</v>
      </c>
      <c r="J33">
        <v>122</v>
      </c>
      <c r="K33">
        <v>1.1000000000000001</v>
      </c>
      <c r="M33" t="e">
        <f t="shared" si="4"/>
        <v>#N/A</v>
      </c>
      <c r="N33" s="64"/>
      <c r="O33" t="e">
        <f t="shared" ca="1" si="1"/>
        <v>#N/A</v>
      </c>
      <c r="P33" t="e">
        <f t="shared" ca="1" si="1"/>
        <v>#N/A</v>
      </c>
      <c r="Q33" t="e">
        <f t="shared" ca="1" si="1"/>
        <v>#N/A</v>
      </c>
      <c r="R33" t="e">
        <f t="shared" ca="1" si="1"/>
        <v>#N/A</v>
      </c>
      <c r="S33" t="e">
        <f t="shared" ca="1" si="1"/>
        <v>#N/A</v>
      </c>
      <c r="T33" t="e">
        <f t="shared" ca="1" si="1"/>
        <v>#N/A</v>
      </c>
      <c r="X33" s="65"/>
      <c r="AK33">
        <f t="shared" si="5"/>
        <v>26</v>
      </c>
      <c r="AM33" s="66">
        <f t="shared" ca="1" si="6"/>
        <v>-156906971.25076813</v>
      </c>
      <c r="AN33" s="65">
        <f t="shared" si="7"/>
        <v>-4242466.2009223979</v>
      </c>
      <c r="AO33" s="65">
        <f t="shared" si="10"/>
        <v>160663724.80838916</v>
      </c>
      <c r="AP33" s="66">
        <f t="shared" ca="1" si="8"/>
        <v>-136602.18077670509</v>
      </c>
      <c r="AQ33" s="66">
        <f t="shared" ca="1" si="9"/>
        <v>-296006462.35937667</v>
      </c>
    </row>
    <row r="34" spans="5:43" x14ac:dyDescent="0.2">
      <c r="E34" t="s">
        <v>475</v>
      </c>
      <c r="F34" t="s">
        <v>464</v>
      </c>
      <c r="G34">
        <v>10</v>
      </c>
      <c r="H34">
        <v>500</v>
      </c>
      <c r="I34" s="63">
        <v>29000</v>
      </c>
      <c r="J34">
        <v>400</v>
      </c>
      <c r="K34">
        <v>0.9</v>
      </c>
      <c r="M34" t="e">
        <f t="shared" si="4"/>
        <v>#N/A</v>
      </c>
      <c r="N34" s="64"/>
      <c r="O34" t="e">
        <f t="shared" ca="1" si="1"/>
        <v>#N/A</v>
      </c>
      <c r="P34" t="e">
        <f t="shared" ca="1" si="1"/>
        <v>#N/A</v>
      </c>
      <c r="Q34" t="e">
        <f t="shared" ca="1" si="1"/>
        <v>#N/A</v>
      </c>
      <c r="R34" t="e">
        <f t="shared" ca="1" si="1"/>
        <v>#N/A</v>
      </c>
      <c r="S34" t="e">
        <f t="shared" ca="1" si="1"/>
        <v>#N/A</v>
      </c>
      <c r="T34" t="e">
        <f t="shared" ca="1" si="1"/>
        <v>#N/A</v>
      </c>
      <c r="X34" s="65"/>
      <c r="AK34">
        <f t="shared" si="5"/>
        <v>27</v>
      </c>
      <c r="AM34" s="66">
        <f t="shared" ca="1" si="6"/>
        <v>-156906971.25076813</v>
      </c>
      <c r="AN34" s="65">
        <f t="shared" si="7"/>
        <v>-4390952.517954682</v>
      </c>
      <c r="AO34" s="65">
        <f t="shared" si="10"/>
        <v>160663724.80838916</v>
      </c>
      <c r="AP34" s="66">
        <f t="shared" ca="1" si="8"/>
        <v>-169869.12543706535</v>
      </c>
      <c r="AQ34" s="66">
        <f t="shared" ca="1" si="9"/>
        <v>-296176331.48481375</v>
      </c>
    </row>
    <row r="35" spans="5:43" x14ac:dyDescent="0.2">
      <c r="E35" t="s">
        <v>476</v>
      </c>
      <c r="F35" t="s">
        <v>464</v>
      </c>
      <c r="G35">
        <v>1</v>
      </c>
      <c r="H35">
        <v>500</v>
      </c>
      <c r="I35" s="63">
        <v>1600</v>
      </c>
      <c r="J35">
        <v>210</v>
      </c>
      <c r="K35">
        <v>0.95</v>
      </c>
      <c r="M35" t="e">
        <f t="shared" si="4"/>
        <v>#N/A</v>
      </c>
      <c r="N35" s="64"/>
      <c r="O35" t="e">
        <f t="shared" ca="1" si="1"/>
        <v>#N/A</v>
      </c>
      <c r="P35" t="e">
        <f t="shared" ca="1" si="1"/>
        <v>#N/A</v>
      </c>
      <c r="Q35" t="e">
        <f t="shared" ca="1" si="1"/>
        <v>#N/A</v>
      </c>
      <c r="R35" t="e">
        <f t="shared" ca="1" si="1"/>
        <v>#N/A</v>
      </c>
      <c r="S35" t="e">
        <f t="shared" ca="1" si="1"/>
        <v>#N/A</v>
      </c>
      <c r="T35" t="e">
        <f t="shared" ca="1" si="1"/>
        <v>#N/A</v>
      </c>
      <c r="X35" s="65"/>
      <c r="AK35">
        <f t="shared" si="5"/>
        <v>28</v>
      </c>
      <c r="AM35" s="66">
        <f t="shared" ca="1" si="6"/>
        <v>-156906971.25076813</v>
      </c>
      <c r="AN35" s="65">
        <f t="shared" si="7"/>
        <v>-4544635.856083096</v>
      </c>
      <c r="AO35" s="65">
        <f t="shared" si="10"/>
        <v>160663724.80838916</v>
      </c>
      <c r="AP35" s="66">
        <f t="shared" ca="1" si="8"/>
        <v>-200983.76115534018</v>
      </c>
      <c r="AQ35" s="66">
        <f t="shared" ca="1" si="9"/>
        <v>-296377315.24596912</v>
      </c>
    </row>
    <row r="36" spans="5:43" x14ac:dyDescent="0.2">
      <c r="E36" t="s">
        <v>477</v>
      </c>
      <c r="F36" t="s">
        <v>478</v>
      </c>
      <c r="G36">
        <v>0.4</v>
      </c>
      <c r="H36">
        <v>1.4</v>
      </c>
      <c r="I36" s="63">
        <v>128000</v>
      </c>
      <c r="J36" s="63">
        <v>89000</v>
      </c>
      <c r="K36">
        <v>0.5</v>
      </c>
      <c r="W36" t="s">
        <v>479</v>
      </c>
      <c r="X36" s="66">
        <f ca="1">SUM(X6:X35)</f>
        <v>46131695.482551575</v>
      </c>
      <c r="AK36">
        <f t="shared" si="5"/>
        <v>29</v>
      </c>
      <c r="AM36" s="66">
        <f t="shared" ca="1" si="6"/>
        <v>-156906971.25076813</v>
      </c>
      <c r="AN36" s="65">
        <f t="shared" si="7"/>
        <v>-4703698.1110460032</v>
      </c>
      <c r="AO36" s="65">
        <f t="shared" si="10"/>
        <v>160663724.80838916</v>
      </c>
      <c r="AP36" s="66">
        <f t="shared" ca="1" si="8"/>
        <v>-230056.69552953541</v>
      </c>
      <c r="AQ36" s="66">
        <f t="shared" ca="1" si="9"/>
        <v>-296607371.94149864</v>
      </c>
    </row>
    <row r="37" spans="5:43" x14ac:dyDescent="0.2">
      <c r="E37" t="s">
        <v>480</v>
      </c>
      <c r="F37" t="s">
        <v>481</v>
      </c>
      <c r="G37">
        <v>10</v>
      </c>
      <c r="H37">
        <v>180</v>
      </c>
      <c r="I37" s="63">
        <v>-73000</v>
      </c>
      <c r="J37" s="63">
        <v>93000</v>
      </c>
      <c r="K37">
        <v>0.3</v>
      </c>
      <c r="AK37">
        <f t="shared" si="5"/>
        <v>30</v>
      </c>
      <c r="AM37" s="66">
        <f t="shared" ca="1" si="6"/>
        <v>-156906971.25076813</v>
      </c>
      <c r="AN37" s="65">
        <f t="shared" si="7"/>
        <v>-4868327.5449326131</v>
      </c>
      <c r="AO37" s="65">
        <f t="shared" si="10"/>
        <v>160663724.80838916</v>
      </c>
      <c r="AP37" s="66">
        <f t="shared" ca="1" si="8"/>
        <v>-257193.15317637072</v>
      </c>
      <c r="AQ37" s="66">
        <f t="shared" ca="1" si="9"/>
        <v>-296864565.094675</v>
      </c>
    </row>
    <row r="38" spans="5:43" x14ac:dyDescent="0.2">
      <c r="E38" t="s">
        <v>482</v>
      </c>
      <c r="F38" t="s">
        <v>483</v>
      </c>
      <c r="G38">
        <v>0.2</v>
      </c>
      <c r="H38">
        <v>60</v>
      </c>
      <c r="I38" s="63">
        <v>80000</v>
      </c>
      <c r="J38" s="63">
        <v>109000</v>
      </c>
      <c r="K38">
        <v>0.8</v>
      </c>
      <c r="AK38">
        <f t="shared" si="5"/>
        <v>31</v>
      </c>
      <c r="AM38" s="66">
        <f t="shared" ca="1" si="6"/>
        <v>-156906971.25076813</v>
      </c>
      <c r="AN38" s="65">
        <f t="shared" si="7"/>
        <v>-5038719.0090052541</v>
      </c>
      <c r="AO38" s="65">
        <f t="shared" si="10"/>
        <v>160663724.80838916</v>
      </c>
      <c r="AP38" s="66">
        <f t="shared" ca="1" si="8"/>
        <v>-282493.23372022423</v>
      </c>
      <c r="AQ38" s="66">
        <f t="shared" ca="1" si="9"/>
        <v>-297147058.32839525</v>
      </c>
    </row>
    <row r="39" spans="5:43" x14ac:dyDescent="0.2">
      <c r="E39" t="s">
        <v>484</v>
      </c>
      <c r="F39" t="s">
        <v>483</v>
      </c>
      <c r="G39">
        <v>30</v>
      </c>
      <c r="H39">
        <v>120</v>
      </c>
      <c r="I39" s="63">
        <v>43000</v>
      </c>
      <c r="J39" s="63">
        <v>111000</v>
      </c>
      <c r="K39">
        <v>0.8</v>
      </c>
      <c r="AK39">
        <f t="shared" si="5"/>
        <v>32</v>
      </c>
      <c r="AM39" s="66">
        <f t="shared" ca="1" si="6"/>
        <v>-156906971.25076813</v>
      </c>
      <c r="AN39" s="65">
        <f t="shared" si="7"/>
        <v>-5215074.174320437</v>
      </c>
      <c r="AO39" s="65">
        <f t="shared" si="10"/>
        <v>160663724.80838916</v>
      </c>
      <c r="AP39" s="66">
        <f t="shared" ca="1" si="8"/>
        <v>-306052.15747314662</v>
      </c>
      <c r="AQ39" s="66">
        <f t="shared" ca="1" si="9"/>
        <v>-297453110.48586839</v>
      </c>
    </row>
    <row r="40" spans="5:43" x14ac:dyDescent="0.2">
      <c r="E40" t="s">
        <v>485</v>
      </c>
      <c r="F40" t="s">
        <v>486</v>
      </c>
      <c r="I40">
        <v>0</v>
      </c>
      <c r="J40" s="63">
        <v>8000</v>
      </c>
      <c r="K40">
        <v>1</v>
      </c>
      <c r="AK40">
        <f t="shared" si="5"/>
        <v>33</v>
      </c>
      <c r="AM40" s="66">
        <f t="shared" ca="1" si="6"/>
        <v>-156906971.25076813</v>
      </c>
      <c r="AN40" s="65">
        <f t="shared" si="7"/>
        <v>-5397601.7704216521</v>
      </c>
      <c r="AO40" s="65">
        <f t="shared" si="10"/>
        <v>160663724.80838916</v>
      </c>
      <c r="AP40" s="66">
        <f t="shared" ca="1" si="8"/>
        <v>-327960.49939257739</v>
      </c>
      <c r="AQ40" s="66">
        <f t="shared" ca="1" si="9"/>
        <v>-297781070.98526096</v>
      </c>
    </row>
    <row r="41" spans="5:43" x14ac:dyDescent="0.2">
      <c r="E41" t="s">
        <v>487</v>
      </c>
      <c r="F41" t="s">
        <v>488</v>
      </c>
      <c r="I41">
        <v>0</v>
      </c>
      <c r="J41" s="63">
        <v>2000</v>
      </c>
      <c r="K41">
        <v>1</v>
      </c>
      <c r="AK41">
        <f t="shared" si="5"/>
        <v>34</v>
      </c>
      <c r="AM41" s="66">
        <f t="shared" ca="1" si="6"/>
        <v>-156906971.25076813</v>
      </c>
      <c r="AN41" s="65">
        <f t="shared" si="7"/>
        <v>-5586517.8323864099</v>
      </c>
      <c r="AO41" s="65">
        <f t="shared" si="10"/>
        <v>160663724.80838916</v>
      </c>
      <c r="AP41" s="66">
        <f t="shared" ca="1" si="8"/>
        <v>-348304.41187517409</v>
      </c>
      <c r="AQ41" s="66">
        <f t="shared" ca="1" si="9"/>
        <v>-298129375.39713615</v>
      </c>
    </row>
    <row r="42" spans="5:43" x14ac:dyDescent="0.2">
      <c r="E42" t="s">
        <v>489</v>
      </c>
      <c r="F42" t="s">
        <v>488</v>
      </c>
      <c r="I42">
        <v>0</v>
      </c>
      <c r="J42" s="63">
        <v>8500</v>
      </c>
      <c r="K42">
        <v>1</v>
      </c>
      <c r="AK42">
        <f t="shared" si="5"/>
        <v>35</v>
      </c>
      <c r="AM42" s="66">
        <f t="shared" ca="1" si="6"/>
        <v>-156906971.25076813</v>
      </c>
      <c r="AN42" s="65">
        <f t="shared" si="7"/>
        <v>-5782045.9565199334</v>
      </c>
      <c r="AO42" s="65">
        <f t="shared" si="10"/>
        <v>160663724.80838916</v>
      </c>
      <c r="AP42" s="66">
        <f t="shared" ca="1" si="8"/>
        <v>-367165.83691878704</v>
      </c>
      <c r="AQ42" s="66">
        <f t="shared" ca="1" si="9"/>
        <v>-298496541.23405492</v>
      </c>
    </row>
    <row r="43" spans="5:43" x14ac:dyDescent="0.2">
      <c r="E43" t="s">
        <v>490</v>
      </c>
      <c r="F43" t="s">
        <v>488</v>
      </c>
      <c r="I43">
        <v>0</v>
      </c>
      <c r="J43" s="63">
        <v>5500</v>
      </c>
      <c r="K43">
        <v>1</v>
      </c>
      <c r="AK43">
        <f t="shared" si="5"/>
        <v>36</v>
      </c>
      <c r="AM43" s="66">
        <f t="shared" ca="1" si="6"/>
        <v>-156906971.25076813</v>
      </c>
      <c r="AN43" s="65">
        <f t="shared" si="7"/>
        <v>-5984417.5649981303</v>
      </c>
      <c r="AO43" s="65">
        <f t="shared" si="10"/>
        <v>160663724.80838916</v>
      </c>
      <c r="AP43" s="66">
        <f t="shared" ca="1" si="8"/>
        <v>-384622.70815910277</v>
      </c>
      <c r="AQ43" s="66">
        <f t="shared" ca="1" si="9"/>
        <v>-298881163.94221401</v>
      </c>
    </row>
    <row r="44" spans="5:43" x14ac:dyDescent="0.2">
      <c r="E44" t="s">
        <v>491</v>
      </c>
      <c r="F44" t="s">
        <v>488</v>
      </c>
      <c r="I44">
        <v>0</v>
      </c>
      <c r="J44" s="63">
        <v>7600</v>
      </c>
      <c r="K44">
        <v>1.03</v>
      </c>
      <c r="AK44">
        <f t="shared" si="5"/>
        <v>37</v>
      </c>
      <c r="AM44" s="66">
        <f t="shared" ca="1" si="6"/>
        <v>-156906971.25076813</v>
      </c>
      <c r="AN44" s="65">
        <f t="shared" si="7"/>
        <v>-6193872.1797730643</v>
      </c>
      <c r="AO44" s="65">
        <f t="shared" si="10"/>
        <v>160663724.80838916</v>
      </c>
      <c r="AP44" s="66">
        <f t="shared" ca="1" si="8"/>
        <v>-400749.14326351136</v>
      </c>
      <c r="AQ44" s="66">
        <f t="shared" ca="1" si="9"/>
        <v>-299281913.08547753</v>
      </c>
    </row>
    <row r="45" spans="5:43" x14ac:dyDescent="0.2">
      <c r="E45" t="s">
        <v>492</v>
      </c>
      <c r="F45" t="s">
        <v>493</v>
      </c>
      <c r="G45">
        <v>160</v>
      </c>
      <c r="H45" s="63">
        <v>250000</v>
      </c>
      <c r="I45" s="63">
        <v>11600</v>
      </c>
      <c r="J45">
        <v>34</v>
      </c>
      <c r="K45">
        <v>0.85</v>
      </c>
      <c r="AK45">
        <f t="shared" si="5"/>
        <v>38</v>
      </c>
      <c r="AM45" s="66">
        <f t="shared" ca="1" si="6"/>
        <v>-156906971.25076813</v>
      </c>
      <c r="AN45" s="65">
        <f t="shared" si="7"/>
        <v>-6410657.706065122</v>
      </c>
      <c r="AO45" s="65">
        <f t="shared" si="10"/>
        <v>160663724.80838916</v>
      </c>
      <c r="AP45" s="66">
        <f t="shared" ca="1" si="8"/>
        <v>-415615.6271416191</v>
      </c>
      <c r="AQ45" s="66">
        <f t="shared" ca="1" si="9"/>
        <v>-299697528.71261913</v>
      </c>
    </row>
    <row r="46" spans="5:43" x14ac:dyDescent="0.2">
      <c r="E46" t="s">
        <v>494</v>
      </c>
      <c r="F46" t="s">
        <v>493</v>
      </c>
      <c r="G46">
        <v>160</v>
      </c>
      <c r="H46" s="63">
        <v>50000</v>
      </c>
      <c r="I46" s="63">
        <v>10200</v>
      </c>
      <c r="J46">
        <v>31</v>
      </c>
      <c r="K46">
        <v>0.85</v>
      </c>
      <c r="AK46">
        <f t="shared" si="5"/>
        <v>39</v>
      </c>
      <c r="AM46" s="66">
        <f t="shared" ca="1" si="6"/>
        <v>-156906971.25076813</v>
      </c>
      <c r="AN46" s="65">
        <f t="shared" si="7"/>
        <v>-6635030.7257774007</v>
      </c>
      <c r="AO46" s="65">
        <f t="shared" si="10"/>
        <v>160663724.80838916</v>
      </c>
      <c r="AP46" s="66">
        <f t="shared" ca="1" si="8"/>
        <v>-429289.18641008501</v>
      </c>
      <c r="AQ46" s="66">
        <f t="shared" ca="1" si="9"/>
        <v>-300126817.8990292</v>
      </c>
    </row>
    <row r="47" spans="5:43" x14ac:dyDescent="0.2">
      <c r="E47" t="s">
        <v>495</v>
      </c>
      <c r="F47" t="s">
        <v>493</v>
      </c>
      <c r="G47">
        <v>120</v>
      </c>
      <c r="H47" s="63">
        <v>250000</v>
      </c>
      <c r="I47" s="63">
        <v>17400</v>
      </c>
      <c r="J47">
        <v>79</v>
      </c>
      <c r="K47">
        <v>0.85</v>
      </c>
      <c r="AK47">
        <f t="shared" si="5"/>
        <v>40</v>
      </c>
      <c r="AM47" s="66">
        <f t="shared" ca="1" si="6"/>
        <v>-156906971.25076813</v>
      </c>
      <c r="AN47" s="65">
        <f t="shared" si="7"/>
        <v>-6867256.8011796083</v>
      </c>
      <c r="AO47" s="65">
        <f t="shared" si="10"/>
        <v>160663724.80838916</v>
      </c>
      <c r="AP47" s="66">
        <f t="shared" ca="1" si="8"/>
        <v>-441833.55552850658</v>
      </c>
      <c r="AQ47" s="66">
        <f t="shared" ca="1" si="9"/>
        <v>-300568651.45455772</v>
      </c>
    </row>
    <row r="48" spans="5:43" x14ac:dyDescent="0.2">
      <c r="E48" t="s">
        <v>496</v>
      </c>
      <c r="F48" t="s">
        <v>493</v>
      </c>
      <c r="G48">
        <v>120</v>
      </c>
      <c r="H48" s="63">
        <v>50000</v>
      </c>
      <c r="I48" s="63">
        <v>12800</v>
      </c>
      <c r="J48">
        <v>73</v>
      </c>
      <c r="K48">
        <v>0.85</v>
      </c>
      <c r="AK48">
        <f t="shared" si="5"/>
        <v>41</v>
      </c>
      <c r="AM48" s="66">
        <f t="shared" ca="1" si="6"/>
        <v>-156906971.25076813</v>
      </c>
      <c r="AN48" s="65">
        <f t="shared" si="7"/>
        <v>-7107610.7892208928</v>
      </c>
      <c r="AO48" s="65">
        <f t="shared" si="10"/>
        <v>160663724.80838916</v>
      </c>
      <c r="AP48" s="66">
        <f t="shared" ca="1" si="8"/>
        <v>-453309.33500326017</v>
      </c>
      <c r="AQ48" s="66">
        <f t="shared" ca="1" si="9"/>
        <v>-301021960.78956097</v>
      </c>
    </row>
    <row r="49" spans="5:43" x14ac:dyDescent="0.2">
      <c r="E49" t="s">
        <v>497</v>
      </c>
      <c r="F49" t="s">
        <v>498</v>
      </c>
      <c r="G49">
        <v>0.2</v>
      </c>
      <c r="H49">
        <v>126</v>
      </c>
      <c r="I49" s="63">
        <v>8000</v>
      </c>
      <c r="J49">
        <v>240</v>
      </c>
      <c r="K49">
        <v>0.9</v>
      </c>
      <c r="AK49">
        <f t="shared" si="5"/>
        <v>42</v>
      </c>
      <c r="AM49" s="66">
        <f t="shared" ca="1" si="6"/>
        <v>-156906971.25076813</v>
      </c>
      <c r="AN49" s="65">
        <f t="shared" si="7"/>
        <v>-7356377.1668436248</v>
      </c>
      <c r="AO49" s="65">
        <f t="shared" si="10"/>
        <v>160663724.80838916</v>
      </c>
      <c r="AP49" s="66">
        <f t="shared" ca="1" si="8"/>
        <v>-463774.14203738008</v>
      </c>
      <c r="AQ49" s="66">
        <f t="shared" ca="1" si="9"/>
        <v>-301485734.93159837</v>
      </c>
    </row>
    <row r="50" spans="5:43" x14ac:dyDescent="0.2">
      <c r="E50" t="s">
        <v>499</v>
      </c>
      <c r="F50" t="s">
        <v>500</v>
      </c>
      <c r="G50">
        <v>1</v>
      </c>
      <c r="H50" s="63">
        <v>2500</v>
      </c>
      <c r="I50" s="63">
        <v>-1100</v>
      </c>
      <c r="J50" s="63">
        <v>2100</v>
      </c>
      <c r="K50">
        <v>0.6</v>
      </c>
      <c r="AK50">
        <f t="shared" si="5"/>
        <v>43</v>
      </c>
      <c r="AM50" s="66">
        <f t="shared" ca="1" si="6"/>
        <v>-156906971.25076813</v>
      </c>
      <c r="AN50" s="65">
        <f t="shared" si="7"/>
        <v>-7613850.3676831517</v>
      </c>
      <c r="AO50" s="65">
        <f t="shared" si="10"/>
        <v>160663724.80838916</v>
      </c>
      <c r="AP50" s="66">
        <f t="shared" ca="1" si="8"/>
        <v>-473282.7539863924</v>
      </c>
      <c r="AQ50" s="66">
        <f t="shared" ca="1" si="9"/>
        <v>-301959017.68558478</v>
      </c>
    </row>
    <row r="51" spans="5:43" x14ac:dyDescent="0.2">
      <c r="E51" t="s">
        <v>501</v>
      </c>
      <c r="F51" t="s">
        <v>500</v>
      </c>
      <c r="G51">
        <v>100</v>
      </c>
      <c r="H51" s="63">
        <v>20000</v>
      </c>
      <c r="I51" s="63">
        <v>-14000</v>
      </c>
      <c r="J51" s="63">
        <v>1900</v>
      </c>
      <c r="K51">
        <v>0.75</v>
      </c>
      <c r="AK51">
        <f t="shared" si="5"/>
        <v>44</v>
      </c>
      <c r="AM51" s="66">
        <f t="shared" ca="1" si="6"/>
        <v>-156906971.25076813</v>
      </c>
      <c r="AN51" s="65">
        <f t="shared" si="7"/>
        <v>-7880335.1305520609</v>
      </c>
      <c r="AO51" s="65">
        <f t="shared" si="10"/>
        <v>160663724.80838916</v>
      </c>
      <c r="AP51" s="66">
        <f t="shared" ca="1" si="8"/>
        <v>-481887.24496302655</v>
      </c>
      <c r="AQ51" s="66">
        <f t="shared" ca="1" si="9"/>
        <v>-302440904.93054783</v>
      </c>
    </row>
    <row r="52" spans="5:43" x14ac:dyDescent="0.2">
      <c r="E52" t="s">
        <v>502</v>
      </c>
      <c r="F52" t="s">
        <v>486</v>
      </c>
      <c r="G52">
        <v>0.5</v>
      </c>
      <c r="H52">
        <v>100</v>
      </c>
      <c r="I52" s="63">
        <v>61500</v>
      </c>
      <c r="J52" s="63">
        <v>32500</v>
      </c>
      <c r="K52">
        <v>0.8</v>
      </c>
    </row>
    <row r="53" spans="5:43" x14ac:dyDescent="0.2">
      <c r="E53" t="s">
        <v>503</v>
      </c>
      <c r="F53" t="s">
        <v>504</v>
      </c>
      <c r="G53">
        <v>0.5</v>
      </c>
      <c r="H53">
        <v>25</v>
      </c>
      <c r="I53" s="63">
        <v>12800</v>
      </c>
      <c r="J53" s="63">
        <v>88200</v>
      </c>
      <c r="K53">
        <v>0.4</v>
      </c>
    </row>
    <row r="54" spans="5:43" x14ac:dyDescent="0.2">
      <c r="E54" t="s">
        <v>505</v>
      </c>
      <c r="F54" t="s">
        <v>506</v>
      </c>
      <c r="G54">
        <v>100</v>
      </c>
      <c r="H54" s="63">
        <v>10000</v>
      </c>
      <c r="I54" s="63">
        <v>113000</v>
      </c>
      <c r="J54" s="63">
        <v>3250</v>
      </c>
      <c r="K54">
        <v>0.65</v>
      </c>
    </row>
    <row r="55" spans="5:43" x14ac:dyDescent="0.2">
      <c r="E55" t="s">
        <v>507</v>
      </c>
      <c r="F55" t="s">
        <v>478</v>
      </c>
      <c r="G55">
        <v>10</v>
      </c>
      <c r="H55" s="63">
        <v>4000</v>
      </c>
      <c r="I55" s="63">
        <v>5800</v>
      </c>
      <c r="J55" s="63">
        <v>1600</v>
      </c>
      <c r="K55">
        <v>0.7</v>
      </c>
    </row>
    <row r="56" spans="5:43" x14ac:dyDescent="0.2">
      <c r="E56" t="s">
        <v>508</v>
      </c>
      <c r="F56" t="s">
        <v>405</v>
      </c>
      <c r="G56">
        <v>0.5</v>
      </c>
      <c r="H56">
        <v>5</v>
      </c>
      <c r="I56">
        <v>130</v>
      </c>
      <c r="J56">
        <v>440</v>
      </c>
      <c r="K56">
        <v>1.8</v>
      </c>
    </row>
    <row r="57" spans="5:43" x14ac:dyDescent="0.2">
      <c r="E57" t="s">
        <v>509</v>
      </c>
      <c r="F57" t="s">
        <v>405</v>
      </c>
      <c r="G57">
        <v>0.5</v>
      </c>
      <c r="H57">
        <v>5</v>
      </c>
      <c r="I57">
        <v>210</v>
      </c>
      <c r="J57">
        <v>400</v>
      </c>
      <c r="K57">
        <v>1.9</v>
      </c>
    </row>
    <row r="58" spans="5:43" x14ac:dyDescent="0.2">
      <c r="E58" t="s">
        <v>510</v>
      </c>
      <c r="F58" t="s">
        <v>405</v>
      </c>
      <c r="G58">
        <v>0.5</v>
      </c>
      <c r="H58">
        <v>5</v>
      </c>
      <c r="I58">
        <v>340</v>
      </c>
      <c r="J58">
        <v>640</v>
      </c>
      <c r="K58">
        <v>1.9</v>
      </c>
    </row>
    <row r="59" spans="5:43" x14ac:dyDescent="0.2">
      <c r="E59" t="s">
        <v>511</v>
      </c>
      <c r="F59" t="s">
        <v>512</v>
      </c>
      <c r="G59">
        <v>100</v>
      </c>
      <c r="H59" s="63">
        <v>10000</v>
      </c>
      <c r="I59" s="63">
        <v>170000</v>
      </c>
      <c r="J59" s="63">
        <v>1500</v>
      </c>
      <c r="K59">
        <v>0.9</v>
      </c>
    </row>
    <row r="60" spans="5:43" x14ac:dyDescent="0.2">
      <c r="E60" t="s">
        <v>513</v>
      </c>
      <c r="F60" t="s">
        <v>514</v>
      </c>
      <c r="G60">
        <v>50</v>
      </c>
      <c r="H60" s="63">
        <v>1500</v>
      </c>
      <c r="I60" s="63">
        <v>24000</v>
      </c>
      <c r="J60" s="63">
        <v>3500</v>
      </c>
      <c r="K60">
        <v>0.9</v>
      </c>
    </row>
    <row r="61" spans="5:43" x14ac:dyDescent="0.2">
      <c r="E61" t="s">
        <v>515</v>
      </c>
      <c r="F61" t="s">
        <v>516</v>
      </c>
      <c r="G61">
        <v>1</v>
      </c>
      <c r="H61">
        <v>50</v>
      </c>
      <c r="I61" s="63">
        <v>14000</v>
      </c>
      <c r="J61" s="63">
        <v>6200</v>
      </c>
      <c r="K61">
        <v>0.75</v>
      </c>
    </row>
    <row r="63" spans="5:43" x14ac:dyDescent="0.2">
      <c r="T63" s="66">
        <f ca="1">AQ32</f>
        <v>-295869860.17859995</v>
      </c>
    </row>
    <row r="64" spans="5:43" x14ac:dyDescent="0.2">
      <c r="E64" s="41" t="s">
        <v>304</v>
      </c>
      <c r="F64" s="41" t="s">
        <v>303</v>
      </c>
      <c r="G64" s="41" t="s">
        <v>305</v>
      </c>
      <c r="H64" s="41" t="s">
        <v>33</v>
      </c>
      <c r="I64" s="41" t="s">
        <v>31</v>
      </c>
      <c r="J64" s="41" t="s">
        <v>20</v>
      </c>
      <c r="K64" s="41" t="s">
        <v>21</v>
      </c>
      <c r="L64" s="41" t="s">
        <v>25</v>
      </c>
      <c r="M64" s="41" t="s">
        <v>28</v>
      </c>
      <c r="N64" s="41" t="s">
        <v>29</v>
      </c>
      <c r="O64" s="41" t="s">
        <v>79</v>
      </c>
      <c r="P64" s="41" t="s">
        <v>80</v>
      </c>
      <c r="Q64" s="41" t="s">
        <v>91</v>
      </c>
      <c r="R64" s="41" t="s">
        <v>92</v>
      </c>
      <c r="S64" s="41" t="s">
        <v>93</v>
      </c>
      <c r="T64" s="69" t="s">
        <v>531</v>
      </c>
    </row>
    <row r="65" spans="5:20" x14ac:dyDescent="0.2">
      <c r="E65" s="41">
        <v>240</v>
      </c>
      <c r="F65" s="41">
        <v>150</v>
      </c>
      <c r="G65" s="41">
        <v>0.3</v>
      </c>
      <c r="H65" s="41">
        <v>0.51</v>
      </c>
      <c r="I65" s="41">
        <v>3</v>
      </c>
      <c r="J65" s="41">
        <v>0.23078155171324549</v>
      </c>
      <c r="K65" s="41">
        <v>0.95978496001531177</v>
      </c>
      <c r="L65" s="41">
        <v>0.143187292440866</v>
      </c>
      <c r="M65" s="41">
        <v>0.14533017439294721</v>
      </c>
      <c r="N65" s="41">
        <f>0.2178*LN(M65)+1.119</f>
        <v>0.69891889025233223</v>
      </c>
      <c r="O65" s="41">
        <v>0.99</v>
      </c>
      <c r="P65" s="41">
        <v>0.01</v>
      </c>
      <c r="Q65" s="41">
        <v>50</v>
      </c>
      <c r="R65" s="41">
        <v>40</v>
      </c>
      <c r="S65" s="41">
        <v>70</v>
      </c>
      <c r="T65" s="54">
        <v>-451771368.32989097</v>
      </c>
    </row>
    <row r="66" spans="5:20" x14ac:dyDescent="0.2">
      <c r="E66" s="41">
        <v>240</v>
      </c>
      <c r="F66" s="10">
        <v>125</v>
      </c>
      <c r="G66" s="41">
        <v>0.3</v>
      </c>
      <c r="H66" s="41">
        <v>0.51</v>
      </c>
      <c r="I66" s="41">
        <v>3</v>
      </c>
      <c r="J66" s="41">
        <v>0.22524155519288946</v>
      </c>
      <c r="K66" s="41">
        <v>0.9573888594465283</v>
      </c>
      <c r="L66" s="41">
        <v>0.143187292440866</v>
      </c>
      <c r="M66" s="41">
        <v>0.14533017439294721</v>
      </c>
      <c r="N66" s="41">
        <f>0.2178*LN(M66)+1.119</f>
        <v>0.69891889025233223</v>
      </c>
      <c r="O66" s="41">
        <v>0.99</v>
      </c>
      <c r="P66" s="41">
        <v>0.01</v>
      </c>
      <c r="Q66" s="41">
        <v>50</v>
      </c>
      <c r="R66" s="41">
        <v>40</v>
      </c>
      <c r="S66" s="41">
        <v>70</v>
      </c>
      <c r="T66" s="54">
        <v>-480104335.74432033</v>
      </c>
    </row>
    <row r="67" spans="5:20" x14ac:dyDescent="0.2">
      <c r="E67" s="41">
        <v>240</v>
      </c>
      <c r="F67" s="67">
        <v>175</v>
      </c>
      <c r="G67" s="41">
        <v>0.3</v>
      </c>
      <c r="H67" s="41">
        <v>0.51</v>
      </c>
      <c r="I67" s="41">
        <v>3</v>
      </c>
      <c r="J67" s="41">
        <v>0.23094340107337466</v>
      </c>
      <c r="K67" s="41">
        <v>0.95999151637138913</v>
      </c>
      <c r="L67" s="41">
        <v>0.143187292440866</v>
      </c>
      <c r="M67" s="41">
        <v>0.14533017439294721</v>
      </c>
      <c r="N67" s="41">
        <f>0.2178*LN(M67)+1.119</f>
        <v>0.69891889025233223</v>
      </c>
      <c r="O67" s="41">
        <v>0.99</v>
      </c>
      <c r="P67" s="41">
        <v>0.01</v>
      </c>
      <c r="Q67" s="41">
        <v>50</v>
      </c>
      <c r="R67" s="41">
        <v>40</v>
      </c>
      <c r="S67" s="41">
        <v>70</v>
      </c>
      <c r="T67" s="54">
        <v>-450360980.96281093</v>
      </c>
    </row>
    <row r="68" spans="5:20" x14ac:dyDescent="0.2">
      <c r="E68" s="26">
        <v>249</v>
      </c>
      <c r="F68" s="41">
        <v>175</v>
      </c>
      <c r="G68" s="41">
        <v>0.3</v>
      </c>
      <c r="H68" s="41">
        <v>0.51</v>
      </c>
      <c r="I68" s="41">
        <v>3</v>
      </c>
      <c r="J68" s="41">
        <v>0.27382963288416129</v>
      </c>
      <c r="K68" s="41">
        <v>0.97051771966543998</v>
      </c>
      <c r="L68" s="41">
        <v>0.143187292440866</v>
      </c>
      <c r="M68" s="41">
        <v>0.14533017439294721</v>
      </c>
      <c r="N68" s="41">
        <f>0.2178*LN(M68)+1.119</f>
        <v>0.69891889025233223</v>
      </c>
      <c r="O68" s="41">
        <v>0.99</v>
      </c>
      <c r="P68" s="41">
        <v>0.01</v>
      </c>
      <c r="Q68" s="41">
        <v>50</v>
      </c>
      <c r="R68" s="41">
        <v>40</v>
      </c>
      <c r="S68" s="41">
        <v>70</v>
      </c>
      <c r="T68" s="6">
        <v>-362276593.89628196</v>
      </c>
    </row>
    <row r="69" spans="5:20" x14ac:dyDescent="0.2">
      <c r="E69" s="41">
        <v>249</v>
      </c>
      <c r="F69" s="41">
        <v>175</v>
      </c>
      <c r="G69" s="10">
        <v>0.6</v>
      </c>
      <c r="H69" s="41">
        <v>0.51</v>
      </c>
      <c r="I69" s="41">
        <v>3</v>
      </c>
      <c r="J69" s="41">
        <v>0.29351608522134137</v>
      </c>
      <c r="K69" s="41">
        <v>0.97580482846963268</v>
      </c>
      <c r="L69" s="41">
        <v>0.143187292440866</v>
      </c>
      <c r="M69" s="41">
        <v>0.14533017439294721</v>
      </c>
      <c r="N69" s="41">
        <f>0.2178*LN(M69)+1.119</f>
        <v>0.69891889025233223</v>
      </c>
      <c r="O69" s="41">
        <v>0.99</v>
      </c>
      <c r="P69" s="41">
        <v>0.01</v>
      </c>
      <c r="Q69" s="41">
        <v>50</v>
      </c>
      <c r="R69" s="41">
        <v>40</v>
      </c>
      <c r="S69" s="41">
        <v>70</v>
      </c>
      <c r="T69" s="6">
        <v>-421042485.61427462</v>
      </c>
    </row>
    <row r="70" spans="5:20" x14ac:dyDescent="0.2">
      <c r="E70" s="68">
        <v>249</v>
      </c>
      <c r="F70" s="68">
        <v>175</v>
      </c>
      <c r="G70" s="70">
        <v>0.4</v>
      </c>
      <c r="H70" s="68">
        <v>0.51</v>
      </c>
      <c r="I70" s="68">
        <v>3</v>
      </c>
      <c r="J70" s="68">
        <v>0.28539100000000001</v>
      </c>
      <c r="K70" s="68">
        <v>0.97366799999999998</v>
      </c>
      <c r="L70" s="68">
        <v>0.14318729999999999</v>
      </c>
      <c r="M70" s="68">
        <v>0.14533019999999999</v>
      </c>
      <c r="N70" s="68">
        <v>0.69891890000000001</v>
      </c>
      <c r="O70" s="68">
        <v>0.99</v>
      </c>
      <c r="P70" s="68">
        <v>0.01</v>
      </c>
      <c r="Q70" s="68">
        <v>50</v>
      </c>
      <c r="R70" s="68">
        <v>40</v>
      </c>
      <c r="S70" s="68">
        <v>70</v>
      </c>
      <c r="T70" s="6">
        <v>-371521094.78392994</v>
      </c>
    </row>
    <row r="71" spans="5:20" x14ac:dyDescent="0.2">
      <c r="E71" s="41">
        <v>249</v>
      </c>
      <c r="F71" s="41">
        <v>175</v>
      </c>
      <c r="G71" s="41">
        <v>0.4</v>
      </c>
      <c r="H71" s="41">
        <v>0.51</v>
      </c>
      <c r="I71" s="41">
        <v>3</v>
      </c>
      <c r="J71" s="41">
        <v>0.30568247423861106</v>
      </c>
      <c r="K71" s="41">
        <v>0.96204846513296494</v>
      </c>
      <c r="L71" s="10">
        <v>0.25</v>
      </c>
      <c r="M71" s="41">
        <v>0.14533017439294721</v>
      </c>
      <c r="N71" s="41">
        <f>0.2178*LN(M71)+1.119</f>
        <v>0.69891889025233223</v>
      </c>
      <c r="O71" s="41">
        <v>0.99</v>
      </c>
      <c r="P71" s="41">
        <v>0.01</v>
      </c>
      <c r="Q71" s="41">
        <v>50</v>
      </c>
      <c r="R71" s="41">
        <v>40</v>
      </c>
      <c r="S71" s="41">
        <v>70</v>
      </c>
      <c r="T71" s="6">
        <v>-423529784.42797291</v>
      </c>
    </row>
    <row r="72" spans="5:20" x14ac:dyDescent="0.2">
      <c r="E72" s="41">
        <v>249</v>
      </c>
      <c r="F72" s="41">
        <v>175</v>
      </c>
      <c r="G72" s="41">
        <v>0.4</v>
      </c>
      <c r="H72" s="41">
        <v>0.51</v>
      </c>
      <c r="I72" s="41">
        <v>3</v>
      </c>
      <c r="J72" s="41">
        <v>0.30162867586869074</v>
      </c>
      <c r="K72" s="41">
        <v>0.96547002634102796</v>
      </c>
      <c r="L72" s="41">
        <v>0.25</v>
      </c>
      <c r="M72" s="26">
        <v>0.25</v>
      </c>
      <c r="N72" s="41">
        <f>0.2178*LN(M72)+1.119</f>
        <v>0.81706508814808787</v>
      </c>
      <c r="O72" s="41">
        <v>0.99</v>
      </c>
      <c r="P72" s="41">
        <v>0.01</v>
      </c>
      <c r="Q72" s="41">
        <v>50</v>
      </c>
      <c r="R72" s="41">
        <v>40</v>
      </c>
      <c r="S72" s="41">
        <v>70</v>
      </c>
      <c r="T72" s="6">
        <v>-390109932.5078119</v>
      </c>
    </row>
    <row r="73" spans="5:20" x14ac:dyDescent="0.2">
      <c r="E73" s="41">
        <v>249</v>
      </c>
      <c r="F73" s="41">
        <v>175</v>
      </c>
      <c r="G73" s="41">
        <v>0.4</v>
      </c>
      <c r="H73" s="41">
        <v>0.51</v>
      </c>
      <c r="I73" s="41">
        <v>3</v>
      </c>
      <c r="J73" s="41">
        <v>0.29255921681963931</v>
      </c>
      <c r="K73" s="41">
        <v>0.96999615378526449</v>
      </c>
      <c r="L73" s="41">
        <v>0.25</v>
      </c>
      <c r="M73" s="26">
        <v>0.4</v>
      </c>
      <c r="N73" s="41">
        <f>0.2178*LN(M73)+1.119</f>
        <v>0.91943187859780906</v>
      </c>
      <c r="O73" s="41">
        <v>0.99</v>
      </c>
      <c r="P73" s="41">
        <v>0.01</v>
      </c>
      <c r="Q73" s="41">
        <v>50</v>
      </c>
      <c r="R73" s="41">
        <v>40</v>
      </c>
      <c r="S73" s="41">
        <v>70</v>
      </c>
      <c r="T73" s="13">
        <v>-365390807.62997365</v>
      </c>
    </row>
    <row r="74" spans="5:20" x14ac:dyDescent="0.2">
      <c r="E74" s="6">
        <v>249</v>
      </c>
      <c r="F74" s="6">
        <v>175</v>
      </c>
      <c r="G74" s="6">
        <v>0.4</v>
      </c>
      <c r="H74" s="6">
        <v>0.51</v>
      </c>
      <c r="I74" s="26">
        <v>4</v>
      </c>
      <c r="J74" s="6">
        <v>0.3537382364012302</v>
      </c>
      <c r="K74" s="6">
        <v>0.97396622442433489</v>
      </c>
      <c r="L74" s="6">
        <v>0.25</v>
      </c>
      <c r="M74" s="6">
        <v>0.4</v>
      </c>
      <c r="N74" s="6">
        <v>0.91943187859780906</v>
      </c>
      <c r="O74" s="6">
        <v>0.99</v>
      </c>
      <c r="P74" s="6">
        <v>0.01</v>
      </c>
      <c r="Q74" s="6">
        <v>50</v>
      </c>
      <c r="R74" s="6">
        <v>40</v>
      </c>
      <c r="S74" s="14">
        <v>70</v>
      </c>
      <c r="T74" s="73">
        <v>-295869860.17859995</v>
      </c>
    </row>
  </sheetData>
  <phoneticPr fontId="1" type="noConversion"/>
  <dataValidations count="1">
    <dataValidation type="list" allowBlank="1" showInputMessage="1" showErrorMessage="1" sqref="N6:N9 N11:N13 N18:N35" xr:uid="{B2178DEA-6E7D-D14C-A3F1-FE6B82316461}">
      <formula1>$E$6:$E$61</formula1>
    </dataValidation>
  </dataValidations>
  <hyperlinks>
    <hyperlink ref="T64" r:id="rId1" xr:uid="{F1554459-585B-BF4E-BD0C-9E681A7692E9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Reactor sheet</vt:lpstr>
      <vt:lpstr>pipeschedule</vt:lpstr>
      <vt:lpstr>Economic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Acosta</dc:creator>
  <cp:lastModifiedBy>Microsoft Office User</cp:lastModifiedBy>
  <dcterms:created xsi:type="dcterms:W3CDTF">2021-09-07T14:12:00Z</dcterms:created>
  <dcterms:modified xsi:type="dcterms:W3CDTF">2022-04-09T20:17:41Z</dcterms:modified>
</cp:coreProperties>
</file>